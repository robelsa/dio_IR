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DADOS PESSOAIS" sheetId="2" state="visible" r:id="rId2"/>
    <sheet xmlns:r="http://schemas.openxmlformats.org/officeDocument/2006/relationships" name="RENDIMENTOS" sheetId="3" state="visible" r:id="rId3"/>
    <sheet xmlns:r="http://schemas.openxmlformats.org/officeDocument/2006/relationships" name="BENS E DIREITOS" sheetId="4" state="visible" r:id="rId4"/>
    <sheet xmlns:r="http://schemas.openxmlformats.org/officeDocument/2006/relationships" name="DIVIDAS E ONUS" sheetId="5" state="visible" r:id="rId5"/>
    <sheet xmlns:r="http://schemas.openxmlformats.org/officeDocument/2006/relationships" name="PAGAMENTOS" sheetId="6" state="visible" r:id="rId6"/>
    <sheet xmlns:r="http://schemas.openxmlformats.org/officeDocument/2006/relationships" name="DEPENDENTES" sheetId="7" state="visible" r:id="rId7"/>
    <sheet xmlns:r="http://schemas.openxmlformats.org/officeDocument/2006/relationships" name="DOCUMENTOS" sheetId="8" state="visible" r:id="rId8"/>
    <sheet xmlns:r="http://schemas.openxmlformats.org/officeDocument/2006/relationships" name="RESUMO" sheetId="9" state="visible" r:id="rId9"/>
    <sheet xmlns:r="http://schemas.openxmlformats.org/officeDocument/2006/relationships" name="LISTAS" sheetId="10" state="visible" r:id="rId10"/>
  </sheets>
  <definedNames>
    <definedName name="SIM_NAO">LISTAS!$A$5:$A$6</definedName>
    <definedName name="UF">LISTAS!$B$5:$B$31</definedName>
    <definedName name="TITDEP">LISTAS!$C$5:$C$6</definedName>
    <definedName name="CAT_REND">LISTAS!$D$5:$D$14</definedName>
    <definedName name="GRUPO_BENS">LISTAS!$E$5:$E$11</definedName>
    <definedName name="TIPO_DIVIDA">LISTAS!$F$5:$F$10</definedName>
    <definedName name="CAT_PAG">LISTAS!$G$5:$G$12</definedName>
    <definedName name="PARENTESCO">LISTAS!$H$5:$H$12</definedName>
    <definedName name="STATUS_DOC">LISTAS!$I$5:$I$9</definedName>
    <definedName name="CAT_DOC">LISTAS!$J$5:$J$11</definedName>
    <definedName name="OCUPACAO">LISTAS!$K$5:$K$11</definedName>
    <definedName name="BANCOS">LISTAS!$L$5:$L$20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00&quot;.&quot;000&quot;.&quot;000&quot;-&quot;00"/>
    <numFmt numFmtId="165" formatCode="dd/mm/yyyy"/>
    <numFmt numFmtId="166" formatCode="00000&quot;-&quot;000"/>
    <numFmt numFmtId="167" formatCode="R$ #,##0.00"/>
    <numFmt numFmtId="168" formatCode="0.0%"/>
  </numFmts>
  <fonts count="27">
    <font>
      <name val="Calibri"/>
      <family val="2"/>
      <color theme="1"/>
      <sz val="11"/>
      <scheme val="minor"/>
    </font>
    <font>
      <name val="Calibri"/>
      <b val="1"/>
      <color rgb="0014304A"/>
      <sz val="12"/>
    </font>
    <font>
      <name val="Calibri"/>
      <i val="1"/>
      <color rgb="006B7A8D"/>
      <sz val="9"/>
    </font>
    <font>
      <name val="Calibri"/>
      <b val="1"/>
      <color rgb="00FFFFFF"/>
      <sz val="10"/>
    </font>
    <font>
      <name val="Calibri"/>
      <color rgb="001B2A3A"/>
      <sz val="10"/>
    </font>
    <font>
      <name val="Calibri"/>
      <b val="1"/>
      <color rgb="001E88A8"/>
      <sz val="16"/>
    </font>
    <font>
      <name val="Calibri"/>
      <b val="1"/>
      <color rgb="0014304A"/>
      <sz val="34"/>
    </font>
    <font>
      <name val="Calibri"/>
      <color rgb="006B7A8D"/>
      <sz val="11"/>
    </font>
    <font>
      <name val="Calibri"/>
      <b val="1"/>
      <color rgb="0013657E"/>
      <sz val="9"/>
    </font>
    <font>
      <name val="Calibri"/>
      <b val="1"/>
      <color rgb="00FFFFFF"/>
      <sz val="12"/>
    </font>
    <font>
      <name val="Calibri"/>
      <color rgb="001B2A3A"/>
      <sz val="10.5"/>
    </font>
    <font>
      <name val="Calibri"/>
      <b val="1"/>
      <color rgb="00FFFFFF"/>
      <sz val="11"/>
    </font>
    <font>
      <name val="Calibri"/>
      <b val="1"/>
      <color rgb="001E88A8"/>
      <sz val="10"/>
      <u val="single"/>
    </font>
    <font>
      <name val="Calibri"/>
      <b val="1"/>
      <color rgb="006B7A8D"/>
      <sz val="9"/>
    </font>
    <font>
      <name val="Calibri"/>
      <b val="1"/>
      <color rgb="00AECBE0"/>
      <sz val="10"/>
    </font>
    <font>
      <name val="Calibri"/>
      <b val="1"/>
      <color rgb="0014304A"/>
      <sz val="20"/>
    </font>
    <font>
      <name val="Calibri"/>
      <i val="1"/>
      <color rgb="006B7A8D"/>
      <sz val="10"/>
    </font>
    <font>
      <name val="Calibri"/>
      <b val="1"/>
      <color rgb="0014304A"/>
      <sz val="10.5"/>
    </font>
    <font>
      <name val="Calibri"/>
      <b val="1"/>
      <color rgb="002E7D46"/>
      <sz val="10.5"/>
    </font>
    <font>
      <name val="Calibri"/>
      <i val="1"/>
      <color rgb="006B7A8D"/>
      <sz val="9.5"/>
    </font>
    <font>
      <name val="Calibri"/>
      <b val="1"/>
      <color rgb="00FFFFFF"/>
      <sz val="10.5"/>
    </font>
    <font>
      <name val="Calibri"/>
      <color rgb="001E88A8"/>
      <sz val="10"/>
      <u val="single"/>
    </font>
    <font>
      <name val="Calibri"/>
      <b val="1"/>
      <color rgb="00FFFFFF"/>
      <sz val="9"/>
    </font>
    <font>
      <name val="Calibri"/>
      <b val="1"/>
      <color rgb="0014304A"/>
      <sz val="18"/>
    </font>
    <font>
      <name val="Calibri"/>
      <b val="1"/>
      <color rgb="002E7D46"/>
      <sz val="18"/>
    </font>
    <font>
      <name val="Calibri"/>
      <b val="1"/>
      <color rgb="00C0392B"/>
      <sz val="18"/>
    </font>
    <font>
      <name val="Calibri"/>
      <b val="1"/>
      <color rgb="0014304A"/>
      <sz val="10"/>
    </font>
  </fonts>
  <fills count="12">
    <fill>
      <patternFill/>
    </fill>
    <fill>
      <patternFill patternType="gray125"/>
    </fill>
    <fill>
      <patternFill patternType="solid">
        <fgColor rgb="001E4A6D"/>
      </patternFill>
    </fill>
    <fill>
      <patternFill patternType="solid">
        <fgColor rgb="001E88A8"/>
      </patternFill>
    </fill>
    <fill>
      <patternFill patternType="solid">
        <fgColor rgb="00FFFFFF"/>
      </patternFill>
    </fill>
    <fill>
      <patternFill patternType="solid">
        <fgColor rgb="0014304A"/>
      </patternFill>
    </fill>
    <fill>
      <patternFill patternType="solid">
        <fgColor rgb="00E8EEF4"/>
      </patternFill>
    </fill>
    <fill>
      <patternFill patternType="solid">
        <fgColor rgb="00E4F1E8"/>
      </patternFill>
    </fill>
    <fill>
      <patternFill patternType="solid">
        <fgColor rgb="00B77800"/>
      </patternFill>
    </fill>
    <fill>
      <patternFill patternType="solid">
        <fgColor rgb="00F4F7FA"/>
      </patternFill>
    </fill>
    <fill>
      <patternFill patternType="solid">
        <fgColor rgb="0013657E"/>
      </patternFill>
    </fill>
    <fill>
      <patternFill patternType="solid">
        <fgColor rgb="00C0392B"/>
      </patternFill>
    </fill>
  </fills>
  <borders count="10">
    <border>
      <left/>
      <right/>
      <top/>
      <bottom/>
      <diagonal/>
    </border>
    <border>
      <left style="thin">
        <color rgb="00C7D3E0"/>
      </left>
      <right style="thin">
        <color rgb="00C7D3E0"/>
      </right>
      <top style="thin">
        <color rgb="00C7D3E0"/>
      </top>
      <bottom style="thin">
        <color rgb="00C7D3E0"/>
      </bottom>
    </border>
    <border>
      <left style="thin">
        <color rgb="00E8EEF4"/>
      </left>
      <right style="thin">
        <color rgb="00E8EEF4"/>
      </right>
      <top style="thin">
        <color rgb="00E8EEF4"/>
      </top>
      <bottom style="thin">
        <color rgb="00E8EEF4"/>
      </bottom>
    </border>
    <border>
      <left style="thin">
        <color rgb="001E88A8"/>
      </left>
      <right style="thin">
        <color rgb="001E88A8"/>
      </right>
      <top style="thin">
        <color rgb="001E88A8"/>
      </top>
      <bottom style="thin">
        <color rgb="001E88A8"/>
      </bottom>
    </border>
    <border>
      <left style="thin">
        <color rgb="0014304A"/>
      </left>
      <right style="thin">
        <color rgb="0014304A"/>
      </right>
      <top style="thin">
        <color rgb="0014304A"/>
      </top>
      <bottom style="thin">
        <color rgb="0014304A"/>
      </bottom>
    </border>
    <border>
      <left style="thin">
        <color rgb="0013657E"/>
      </left>
      <right style="thin">
        <color rgb="0013657E"/>
      </right>
      <top style="thin">
        <color rgb="0013657E"/>
      </top>
      <bottom style="thin">
        <color rgb="0013657E"/>
      </bottom>
    </border>
    <border>
      <left/>
      <right/>
      <top style="thin">
        <color rgb="00C7D3E0"/>
      </top>
      <bottom/>
      <diagonal/>
    </border>
    <border>
      <left/>
      <right style="thin">
        <color rgb="00C7D3E0"/>
      </right>
      <top style="thin">
        <color rgb="00C7D3E0"/>
      </top>
      <bottom/>
      <diagonal/>
    </border>
    <border>
      <left/>
      <right/>
      <top style="thin">
        <color rgb="00C7D3E0"/>
      </top>
      <bottom style="thin">
        <color rgb="00C7D3E0"/>
      </bottom>
      <diagonal/>
    </border>
    <border>
      <left/>
      <right style="thin">
        <color rgb="00C7D3E0"/>
      </right>
      <top style="thin">
        <color rgb="00C7D3E0"/>
      </top>
      <bottom style="thin">
        <color rgb="00C7D3E0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4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3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11" fillId="3" borderId="3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6" fillId="0" borderId="0" applyAlignment="1" pivotButton="0" quotePrefix="0" xfId="0">
      <alignment horizontal="left" vertical="center"/>
    </xf>
    <xf numFmtId="0" fontId="17" fillId="6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9" fillId="8" borderId="0" applyAlignment="1" pivotButton="0" quotePrefix="0" xfId="0">
      <alignment horizontal="left" vertical="center"/>
    </xf>
    <xf numFmtId="164" fontId="10" fillId="4" borderId="1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5" fontId="10" fillId="4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left" vertical="center"/>
    </xf>
    <xf numFmtId="166" fontId="10" fillId="4" borderId="1" applyAlignment="1" pivotButton="0" quotePrefix="0" xfId="0">
      <alignment horizontal="left" vertical="center"/>
    </xf>
    <xf numFmtId="0" fontId="2" fillId="0" borderId="0" pivotButton="0" quotePrefix="0" xfId="0"/>
    <xf numFmtId="0" fontId="20" fillId="2" borderId="4" applyAlignment="1" pivotButton="0" quotePrefix="0" xfId="0">
      <alignment horizontal="center" vertical="center" wrapText="1"/>
    </xf>
    <xf numFmtId="0" fontId="10" fillId="4" borderId="1" pivotButton="0" quotePrefix="0" xfId="0"/>
    <xf numFmtId="167" fontId="10" fillId="4" borderId="1" applyAlignment="1" pivotButton="0" quotePrefix="0" xfId="0">
      <alignment horizontal="right" vertical="center"/>
    </xf>
    <xf numFmtId="0" fontId="10" fillId="9" borderId="1" pivotButton="0" quotePrefix="0" xfId="0"/>
    <xf numFmtId="167" fontId="10" fillId="9" borderId="1" applyAlignment="1" pivotButton="0" quotePrefix="0" xfId="0">
      <alignment horizontal="right" vertical="center"/>
    </xf>
    <xf numFmtId="0" fontId="11" fillId="10" borderId="5" applyAlignment="1" pivotButton="0" quotePrefix="0" xfId="0">
      <alignment horizontal="right" vertical="center"/>
    </xf>
    <xf numFmtId="0" fontId="0" fillId="10" borderId="5" pivotButton="0" quotePrefix="0" xfId="0"/>
    <xf numFmtId="167" fontId="11" fillId="10" borderId="5" applyAlignment="1" pivotButton="0" quotePrefix="0" xfId="0">
      <alignment horizontal="center" vertical="center"/>
    </xf>
    <xf numFmtId="164" fontId="10" fillId="4" borderId="1" pivotButton="0" quotePrefix="0" xfId="0"/>
    <xf numFmtId="165" fontId="10" fillId="4" borderId="1" pivotButton="0" quotePrefix="0" xfId="0"/>
    <xf numFmtId="164" fontId="10" fillId="9" borderId="1" pivotButton="0" quotePrefix="0" xfId="0"/>
    <xf numFmtId="165" fontId="10" fillId="9" borderId="1" pivotButton="0" quotePrefix="0" xfId="0"/>
    <xf numFmtId="1" fontId="10" fillId="4" borderId="1" pivotButton="0" quotePrefix="0" xfId="0"/>
    <xf numFmtId="0" fontId="21" fillId="4" borderId="1" pivotButton="0" quotePrefix="0" xfId="0"/>
    <xf numFmtId="1" fontId="10" fillId="9" borderId="1" pivotButton="0" quotePrefix="0" xfId="0"/>
    <xf numFmtId="0" fontId="21" fillId="9" borderId="1" pivotButton="0" quotePrefix="0" xfId="0"/>
    <xf numFmtId="0" fontId="2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2" fillId="10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167" fontId="23" fillId="4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center" vertical="center" wrapText="1"/>
    </xf>
    <xf numFmtId="167" fontId="24" fillId="4" borderId="1" applyAlignment="1" pivotButton="0" quotePrefix="0" xfId="0">
      <alignment horizontal="center" vertical="center"/>
    </xf>
    <xf numFmtId="1" fontId="23" fillId="4" borderId="1" applyAlignment="1" pivotButton="0" quotePrefix="0" xfId="0">
      <alignment horizontal="center" vertical="center"/>
    </xf>
    <xf numFmtId="1" fontId="25" fillId="4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26" fillId="6" borderId="1" pivotButton="0" quotePrefix="0" xfId="0"/>
    <xf numFmtId="0" fontId="0" fillId="0" borderId="8" pivotButton="0" quotePrefix="0" xfId="0"/>
    <xf numFmtId="0" fontId="0" fillId="0" borderId="9" pivotButton="0" quotePrefix="0" xfId="0"/>
    <xf numFmtId="0" fontId="2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4" fillId="0" borderId="1" applyAlignment="1" pivotButton="0" quotePrefix="0" xfId="0">
      <alignment horizontal="left" vertical="center"/>
    </xf>
    <xf numFmtId="167" fontId="4" fillId="0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0" fontId="0" fillId="9" borderId="1" pivotButton="0" quotePrefix="0" xfId="0"/>
    <xf numFmtId="167" fontId="4" fillId="9" borderId="1" applyAlignment="1" pivotButton="0" quotePrefix="0" xfId="0">
      <alignment horizontal="right" vertical="center"/>
    </xf>
    <xf numFmtId="1" fontId="26" fillId="0" borderId="1" applyAlignment="1" pivotButton="0" quotePrefix="0" xfId="0">
      <alignment horizontal="center" vertical="center"/>
    </xf>
    <xf numFmtId="168" fontId="26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</cellXfs>
  <cellStyles count="1">
    <cellStyle name="Normal" xfId="0" builtinId="0" hidden="0"/>
  </cellStyles>
  <dxfs count="3">
    <dxf>
      <font>
        <name val="Calibri"/>
        <b val="1"/>
        <color rgb="00C0392B"/>
      </font>
      <fill>
        <patternFill patternType="solid">
          <fgColor rgb="00FBE7E5"/>
        </patternFill>
      </fill>
    </dxf>
    <dxf>
      <font>
        <name val="Calibri"/>
        <b val="1"/>
        <color rgb="00B77800"/>
      </font>
      <fill>
        <patternFill patternType="solid">
          <fgColor rgb="00FBF0D9"/>
        </patternFill>
      </fill>
    </dxf>
    <dxf>
      <font>
        <name val="Calibri"/>
        <b val="1"/>
        <color rgb="002E7D46"/>
      </font>
      <fill>
        <patternFill patternType="solid">
          <fgColor rgb="00E4F1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_RENDIMENTOS" displayName="TB_RENDIMENTOS" ref="B6:I31" headerRowCount="1">
  <autoFilter ref="B6:I31"/>
  <tableColumns count="8">
    <tableColumn id="2" name="Categoria"/>
    <tableColumn id="3" name="Fonte pagadora"/>
    <tableColumn id="4" name="CNPJ/CPF da fonte"/>
    <tableColumn id="5" name="Titular/Dep."/>
    <tableColumn id="6" name="Valor tributavel (R$)"/>
    <tableColumn id="7" name="Rend. isento (R$)"/>
    <tableColumn id="8" name="Imposto retido (R$)"/>
    <tableColumn id="9" name="Comprova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_BENS_E_DIREITOS" displayName="TB_BENS_E_DIREITOS" ref="B6:H31" headerRowCount="1">
  <autoFilter ref="B6:H31"/>
  <tableColumns count="7">
    <tableColumn id="2" name="Grupo / Tipo"/>
    <tableColumn id="3" name="Descricao do bem"/>
    <tableColumn id="4" name="Localizacao / Instituicao"/>
    <tableColumn id="5" name="Situacao 31/12 ANTERIOR (R$)"/>
    <tableColumn id="6" name="Situacao 31/12 ATUAL (R$)"/>
    <tableColumn id="7" name="Variacao (R$)"/>
    <tableColumn id="8" name="Comprova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_DIVIDAS_E_ONUS" displayName="TB_DIVIDAS_E_ONUS" ref="B6:H26" headerRowCount="1">
  <autoFilter ref="B6:H26"/>
  <tableColumns count="7">
    <tableColumn id="2" name="Tipo"/>
    <tableColumn id="3" name="Credor / Instituicao"/>
    <tableColumn id="4" name="Descricao"/>
    <tableColumn id="5" name="Saldo 31/12 ANTERIOR (R$)"/>
    <tableColumn id="6" name="Saldo 31/12 ATUAL (R$)"/>
    <tableColumn id="7" name="Amortizado no ano (R$)"/>
    <tableColumn id="8" name="Comprovan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_PAGAMENTOS" displayName="TB_PAGAMENTOS" ref="B6:H31" headerRowCount="1">
  <autoFilter ref="B6:H31"/>
  <tableColumns count="7">
    <tableColumn id="2" name="Categoria"/>
    <tableColumn id="3" name="Beneficiario / Prestador"/>
    <tableColumn id="4" name="CNPJ/CPF"/>
    <tableColumn id="5" name="Titular/Dep."/>
    <tableColumn id="6" name="Valor pago (R$)"/>
    <tableColumn id="7" name="Dedutivel?"/>
    <tableColumn id="8" name="Comprova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_DEPENDENTES" displayName="TB_DEPENDENTES" ref="B6:F21" headerRowCount="1">
  <autoFilter ref="B6:F21"/>
  <tableColumns count="5">
    <tableColumn id="2" name="Nome do dependente"/>
    <tableColumn id="3" name="CPF"/>
    <tableColumn id="4" name="Data de nascimento"/>
    <tableColumn id="5" name="Grau de parentesco"/>
    <tableColumn id="6" name="Observaco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_DOCUMENTOS" displayName="TB_DOCUMENTOS" ref="B6:G31" headerRowCount="1">
  <autoFilter ref="B6:G31"/>
  <tableColumns count="6">
    <tableColumn id="2" name="Documento"/>
    <tableColumn id="3" name="Categoria"/>
    <tableColumn id="4" name="Ano"/>
    <tableColumn id="5" name="Status"/>
    <tableColumn id="6" name="Observacao"/>
    <tableColumn id="7" name="Link do arqu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v.receita.fazenda.gov.br/" TargetMode="External" Id="rId1"/><Relationship Type="http://schemas.openxmlformats.org/officeDocument/2006/relationships/hyperlink" Target="https://www.gov.br/receitafederal/pt-br/assuntos/meu-imposto-de-renda" TargetMode="External" Id="rId2"/><Relationship Type="http://schemas.openxmlformats.org/officeDocument/2006/relationships/hyperlink" Target="https://www.gov.br/receitafederal/pt-br/assuntos/meu-cpf" TargetMode="External" Id="rId3"/><Relationship Type="http://schemas.openxmlformats.org/officeDocument/2006/relationships/hyperlink" Target="https://www.gov.br/receitafederal/pt-br/centrais-de-conteudo/publicacoes/perguntas-e-respostas/dirpf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exemplo.com/informe.pdf" TargetMode="External" Id="rId1"/><Relationship Type="http://schemas.openxmlformats.org/officeDocument/2006/relationships/hyperlink" Target="https://exemplo.com/inss.pdf" TargetMode="External" Id="rId2"/><Relationship Type="http://schemas.openxmlformats.org/officeDocument/2006/relationships/table" Target="/xl/tables/table6.xml" Id="rId3"/></Relationships>
</file>

<file path=xl/worksheets/sheet1.xml><?xml version="1.0" encoding="utf-8"?>
<worksheet xmlns="http://schemas.openxmlformats.org/spreadsheetml/2006/main">
  <sheetPr>
    <tabColor rgb="0014304A"/>
    <outlinePr summaryBelow="1" summaryRight="1"/>
    <pageSetUpPr/>
  </sheetPr>
  <dimension ref="A2:E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26" customWidth="1" min="4" max="4"/>
    <col width="4" customWidth="1" min="5" max="5"/>
  </cols>
  <sheetData>
    <row r="1" ht="18" customHeight="1"/>
    <row r="2" ht="18" customHeight="1">
      <c r="A2" s="1" t="n"/>
      <c r="B2" s="2" t="inlineStr">
        <is>
          <t>AGREGADOR DE</t>
        </is>
      </c>
      <c r="E2" s="1" t="n"/>
    </row>
    <row r="3" ht="18" customHeight="1">
      <c r="A3" s="1" t="n"/>
      <c r="B3" s="3" t="inlineStr">
        <is>
          <t>IMPOSTO DE RENDA</t>
        </is>
      </c>
      <c r="E3" s="1" t="n"/>
    </row>
    <row r="4" ht="18" customHeight="1">
      <c r="A4" s="1" t="n"/>
      <c r="E4" s="1" t="n"/>
    </row>
    <row r="5" ht="18" customHeight="1">
      <c r="A5" s="1" t="n"/>
      <c r="B5" s="4" t="inlineStr">
        <is>
          <t>Organizador de dados para a Declaracao de IRPF  -  Pessoa Fisica</t>
        </is>
      </c>
      <c r="E5" s="1" t="n"/>
    </row>
    <row r="6" ht="18" customHeight="1">
      <c r="A6" s="1" t="n"/>
      <c r="B6" s="5" t="inlineStr">
        <is>
          <t>Desafio DIO  |  Microsoft Excel</t>
        </is>
      </c>
      <c r="E6" s="1" t="n"/>
    </row>
    <row r="7" ht="18" customHeight="1">
      <c r="A7" s="1" t="n"/>
      <c r="E7" s="1" t="n"/>
    </row>
    <row r="8" ht="18" customHeight="1">
      <c r="A8" s="1" t="n"/>
      <c r="B8" s="6" t="inlineStr">
        <is>
          <t>COMO USAR</t>
        </is>
      </c>
      <c r="E8" s="1" t="n"/>
    </row>
    <row r="9" ht="20" customHeight="1">
      <c r="A9" s="1" t="n"/>
      <c r="B9" s="7" t="inlineStr">
        <is>
          <t>1. Comece pela aba DADOS PESSOAIS e preencha a identificacao do contribuinte.</t>
        </is>
      </c>
      <c r="E9" s="1" t="n"/>
    </row>
    <row r="10" ht="20" customHeight="1">
      <c r="A10" s="1" t="n"/>
      <c r="B10" s="7" t="inlineStr">
        <is>
          <t>2. Registre suas informacoes nas abas de RENDIMENTOS, BENS, DIVIDAS e PAGAMENTOS.</t>
        </is>
      </c>
      <c r="E10" s="1" t="n"/>
    </row>
    <row r="11" ht="20" customHeight="1">
      <c r="A11" s="1" t="n"/>
      <c r="B11" s="7" t="inlineStr">
        <is>
          <t>3. Cadastre seus DEPENDENTES e controle os COMPROVANTES na aba DOCUMENTOS.</t>
        </is>
      </c>
      <c r="E11" s="1" t="n"/>
    </row>
    <row r="12" ht="20" customHeight="1">
      <c r="A12" s="1" t="n"/>
      <c r="B12" s="7" t="inlineStr">
        <is>
          <t>4. Acompanhe os totais consolidados na aba RESUMO (dashboard).</t>
        </is>
      </c>
      <c r="E12" s="1" t="n"/>
    </row>
    <row r="13" ht="20" customHeight="1">
      <c r="A13" s="1" t="n"/>
      <c r="B13" s="7" t="inlineStr">
        <is>
          <t>5. Prefira sempre os menus suspensos; campos com * sao obrigatorios.</t>
        </is>
      </c>
      <c r="E13" s="1" t="n"/>
    </row>
    <row r="14" ht="18" customHeight="1">
      <c r="A14" s="1" t="n"/>
      <c r="E14" s="1" t="n"/>
    </row>
    <row r="15" ht="18" customHeight="1">
      <c r="A15" s="1" t="n"/>
      <c r="B15" s="6" t="inlineStr">
        <is>
          <t>MENU DE NAVEGACAO</t>
        </is>
      </c>
      <c r="E15" s="1" t="n"/>
    </row>
    <row r="16" ht="34" customHeight="1">
      <c r="A16" s="1" t="n"/>
      <c r="B16" s="8" t="inlineStr">
        <is>
          <t>1  Dados Pessoais</t>
        </is>
      </c>
      <c r="C16" s="8" t="inlineStr">
        <is>
          <t>2  Rendimentos</t>
        </is>
      </c>
      <c r="D16" s="8" t="inlineStr">
        <is>
          <t>3  Bens e Direitos</t>
        </is>
      </c>
      <c r="E16" s="1" t="n"/>
    </row>
    <row r="17" ht="6" customHeight="1">
      <c r="A17" s="1" t="n"/>
      <c r="E17" s="1" t="n"/>
    </row>
    <row r="18" ht="34" customHeight="1">
      <c r="A18" s="1" t="n"/>
      <c r="B18" s="8" t="inlineStr">
        <is>
          <t>4  Dividas e Onus</t>
        </is>
      </c>
      <c r="C18" s="8" t="inlineStr">
        <is>
          <t>5  Pagamentos / Despesas</t>
        </is>
      </c>
      <c r="D18" s="8" t="inlineStr">
        <is>
          <t>6  Dependentes</t>
        </is>
      </c>
      <c r="E18" s="1" t="n"/>
    </row>
    <row r="19" ht="6" customHeight="1">
      <c r="A19" s="1" t="n"/>
      <c r="E19" s="1" t="n"/>
    </row>
    <row r="20" ht="34" customHeight="1">
      <c r="A20" s="1" t="n"/>
      <c r="B20" s="8" t="inlineStr">
        <is>
          <t>7  Documentos</t>
        </is>
      </c>
      <c r="C20" s="8" t="inlineStr">
        <is>
          <t>8  Resumo (Dashboard)</t>
        </is>
      </c>
      <c r="E20" s="1" t="n"/>
    </row>
    <row r="21" ht="6" customHeight="1">
      <c r="A21" s="1" t="n"/>
      <c r="E21" s="1" t="n"/>
    </row>
    <row r="22" ht="18" customHeight="1">
      <c r="A22" s="1" t="n"/>
      <c r="E22" s="1" t="n"/>
    </row>
    <row r="23" ht="18" customHeight="1">
      <c r="A23" s="1" t="n"/>
      <c r="B23" s="6" t="inlineStr">
        <is>
          <t>LINKS RAPIDOS  (sites oficiais)</t>
        </is>
      </c>
      <c r="E23" s="1" t="n"/>
    </row>
    <row r="24" ht="18" customHeight="1">
      <c r="A24" s="1" t="n"/>
      <c r="B24" s="9" t="inlineStr">
        <is>
          <t xml:space="preserve">   Portal e-CAC - Receita Federal</t>
        </is>
      </c>
      <c r="E24" s="1" t="n"/>
    </row>
    <row r="25" ht="18" customHeight="1">
      <c r="A25" s="1" t="n"/>
      <c r="B25" s="9" t="inlineStr">
        <is>
          <t xml:space="preserve">   Programa IRPF / Meu Imposto de Renda</t>
        </is>
      </c>
      <c r="E25" s="1" t="n"/>
    </row>
    <row r="26" ht="18" customHeight="1">
      <c r="A26" s="1" t="n"/>
      <c r="B26" s="9" t="inlineStr">
        <is>
          <t xml:space="preserve">   Consulta CPF / Situacao cadastral</t>
        </is>
      </c>
      <c r="E26" s="1" t="n"/>
    </row>
    <row r="27" ht="18" customHeight="1">
      <c r="A27" s="1" t="n"/>
      <c r="B27" s="9" t="inlineStr">
        <is>
          <t xml:space="preserve">   Perguntas e respostas IRPF</t>
        </is>
      </c>
      <c r="E27" s="1" t="n"/>
    </row>
    <row r="28" ht="18" customHeight="1">
      <c r="A28" s="1" t="n"/>
      <c r="E28" s="1" t="n"/>
    </row>
    <row r="29" ht="18" customHeight="1">
      <c r="A29" s="1" t="n"/>
      <c r="B29" s="10" t="inlineStr">
        <is>
          <t>Versao 1.0  -  Os dados de exemplo sao ficticios e servem apenas para demonstracao.</t>
        </is>
      </c>
      <c r="E29" s="1" t="n"/>
    </row>
    <row r="30" ht="18" customHeight="1">
      <c r="A30" s="1" t="n"/>
      <c r="B30" s="11" t="inlineStr">
        <is>
          <t>Autor: Bel  |  Projeto do desafio DIO</t>
        </is>
      </c>
      <c r="E30" s="1" t="n"/>
    </row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18">
    <mergeCell ref="B10:D10"/>
    <mergeCell ref="B11:D11"/>
    <mergeCell ref="B5:D5"/>
    <mergeCell ref="B29:D29"/>
    <mergeCell ref="B15:D15"/>
    <mergeCell ref="B23:D23"/>
    <mergeCell ref="B8:D8"/>
    <mergeCell ref="B26:D26"/>
    <mergeCell ref="B9:D9"/>
    <mergeCell ref="B13:D13"/>
    <mergeCell ref="B27:D27"/>
    <mergeCell ref="B30:D30"/>
    <mergeCell ref="B3:D4"/>
    <mergeCell ref="B12:D12"/>
    <mergeCell ref="B25:D25"/>
    <mergeCell ref="B6:D6"/>
    <mergeCell ref="B24:D24"/>
    <mergeCell ref="B2:D2"/>
  </mergeCells>
  <hyperlinks>
    <hyperlink ref="B16" location="'DADOS PESSOAIS'!A1" display="1  Dados Pessoais"/>
    <hyperlink ref="C16" location="'RENDIMENTOS'!A1" display="2  Rendimentos"/>
    <hyperlink ref="D16" location="'BENS E DIREITOS'!A1" display="3  Bens e Direitos"/>
    <hyperlink ref="B18" location="'DIVIDAS E ONUS'!A1" display="4  Dividas e Onus"/>
    <hyperlink ref="C18" location="'PAGAMENTOS'!A1" display="5  Pagamentos / Despesas"/>
    <hyperlink ref="D18" location="'DEPENDENTES'!A1" display="6  Dependentes"/>
    <hyperlink ref="B20" location="'DOCUMENTOS'!A1" display="7  Documentos"/>
    <hyperlink ref="C20" location="'RESUMO'!A1" display="8  Resumo (Dashboard)"/>
    <hyperlink xmlns:r="http://schemas.openxmlformats.org/officeDocument/2006/relationships" ref="B24" r:id="rId1"/>
    <hyperlink xmlns:r="http://schemas.openxmlformats.org/officeDocument/2006/relationships" ref="B25" r:id="rId2"/>
    <hyperlink xmlns:r="http://schemas.openxmlformats.org/officeDocument/2006/relationships" ref="B26" r:id="rId3"/>
    <hyperlink xmlns:r="http://schemas.openxmlformats.org/officeDocument/2006/relationships" ref="B27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88A8"/>
    <outlinePr summaryBelow="1" summaryRight="1"/>
    <pageSetUpPr/>
  </sheetPr>
  <dimension ref="B1:F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2" max="2"/>
    <col width="34" customWidth="1" min="3" max="3"/>
    <col width="6" customWidth="1" min="4" max="4"/>
    <col width="30" customWidth="1" min="5" max="5"/>
    <col width="20" customWidth="1" min="6" max="6"/>
  </cols>
  <sheetData>
    <row r="1" ht="20" customHeight="1">
      <c r="B1" s="12" t="inlineStr">
        <is>
          <t>AGREGADOR DE IMPOSTO DE RENDA</t>
        </is>
      </c>
      <c r="C1" s="13" t="n"/>
      <c r="D1" s="13" t="n"/>
      <c r="E1" s="13" t="n"/>
      <c r="F1" s="14" t="inlineStr">
        <is>
          <t>Inicio</t>
        </is>
      </c>
    </row>
    <row r="2" ht="20" customHeight="1">
      <c r="B2" s="15" t="inlineStr">
        <is>
          <t xml:space="preserve">  1.  DADOS PESSOAIS</t>
        </is>
      </c>
      <c r="C2" s="16" t="n"/>
      <c r="D2" s="16" t="n"/>
      <c r="E2" s="16" t="n"/>
    </row>
    <row r="3" ht="22" customHeight="1">
      <c r="B3" s="16" t="n"/>
      <c r="C3" s="16" t="n"/>
      <c r="D3" s="16" t="n"/>
      <c r="E3" s="16" t="n"/>
    </row>
    <row r="4" ht="18" customHeight="1">
      <c r="B4" s="17" t="inlineStr">
        <is>
          <t xml:space="preserve">   Identificacao do contribuinte (titular). Campos com * sao obrigatorios.</t>
        </is>
      </c>
    </row>
    <row r="6" ht="21" customHeight="1">
      <c r="B6" s="18" t="inlineStr">
        <is>
          <t>Nome completo *</t>
        </is>
      </c>
      <c r="C6" s="19" t="n"/>
      <c r="E6" s="20" t="inlineStr">
        <is>
          <t>MARIA FICTICIA DA SILVA</t>
        </is>
      </c>
    </row>
    <row r="7" ht="21" customHeight="1">
      <c r="B7" s="18" t="inlineStr">
        <is>
          <t>CPF *</t>
        </is>
      </c>
      <c r="C7" s="21" t="n"/>
      <c r="E7" s="22" t="inlineStr">
        <is>
          <t>111.444.777-35</t>
        </is>
      </c>
    </row>
    <row r="8" ht="21" customHeight="1">
      <c r="B8" s="18" t="inlineStr">
        <is>
          <t>Data de nascimento *</t>
        </is>
      </c>
      <c r="C8" s="23" t="n"/>
      <c r="E8" s="22" t="inlineStr">
        <is>
          <t>10/05/1990</t>
        </is>
      </c>
    </row>
    <row r="9" ht="21" customHeight="1">
      <c r="B9" s="18" t="inlineStr">
        <is>
          <t>Idade</t>
        </is>
      </c>
      <c r="C9" s="24">
        <f>IFERROR(DATEDIF(C7,TODAY(),"y"),"")</f>
        <v/>
      </c>
      <c r="E9" s="22" t="inlineStr">
        <is>
          <t>(auto)</t>
        </is>
      </c>
    </row>
    <row r="10" ht="21" customHeight="1">
      <c r="B10" s="18" t="inlineStr">
        <is>
          <t>Titulo de eleitor</t>
        </is>
      </c>
      <c r="C10" s="19" t="n"/>
      <c r="E10" s="22" t="inlineStr">
        <is>
          <t>1234567890 SP</t>
        </is>
      </c>
    </row>
    <row r="11" ht="21" customHeight="1">
      <c r="B11" s="18" t="inlineStr">
        <is>
          <t>Nome da mae</t>
        </is>
      </c>
      <c r="C11" s="19" t="n"/>
      <c r="E11" s="22" t="inlineStr">
        <is>
          <t>JOANA FICTICIA</t>
        </is>
      </c>
    </row>
    <row r="12" ht="21" customHeight="1">
      <c r="B12" s="18" t="inlineStr">
        <is>
          <t>Ocupacao principal</t>
        </is>
      </c>
      <c r="C12" s="19" t="n"/>
      <c r="E12" s="22" t="inlineStr">
        <is>
          <t>Autonomo(a) / MEI</t>
        </is>
      </c>
    </row>
    <row r="13" ht="21" customHeight="1">
      <c r="B13" s="18" t="inlineStr">
        <is>
          <t>E-mail</t>
        </is>
      </c>
      <c r="C13" s="19" t="n"/>
      <c r="E13" s="22" t="inlineStr">
        <is>
          <t>maria.exemplo@email.com</t>
        </is>
      </c>
    </row>
    <row r="14" ht="21" customHeight="1">
      <c r="B14" s="18" t="inlineStr">
        <is>
          <t>Telefone / Celular</t>
        </is>
      </c>
      <c r="C14" s="19" t="n"/>
      <c r="E14" s="22" t="inlineStr">
        <is>
          <t>(11) 99999-0000</t>
        </is>
      </c>
    </row>
    <row r="15" ht="21" customHeight="1">
      <c r="B15" s="18" t="inlineStr">
        <is>
          <t>CEP</t>
        </is>
      </c>
      <c r="C15" s="25" t="n"/>
      <c r="E15" s="22" t="inlineStr">
        <is>
          <t>01310-100</t>
        </is>
      </c>
    </row>
    <row r="16" ht="21" customHeight="1">
      <c r="B16" s="18" t="inlineStr">
        <is>
          <t>Logradouro (rua, av.)</t>
        </is>
      </c>
      <c r="C16" s="19" t="n"/>
      <c r="E16" s="22" t="inlineStr">
        <is>
          <t>Av. das Demonstracoes</t>
        </is>
      </c>
    </row>
    <row r="17" ht="21" customHeight="1">
      <c r="B17" s="18" t="inlineStr">
        <is>
          <t>Numero</t>
        </is>
      </c>
      <c r="C17" s="19" t="n"/>
      <c r="E17" s="22" t="inlineStr">
        <is>
          <t>1000</t>
        </is>
      </c>
    </row>
    <row r="18" ht="21" customHeight="1">
      <c r="B18" s="18" t="inlineStr">
        <is>
          <t>Complemento</t>
        </is>
      </c>
      <c r="C18" s="19" t="n"/>
      <c r="E18" s="22" t="inlineStr">
        <is>
          <t>Sala 5</t>
        </is>
      </c>
    </row>
    <row r="19" ht="21" customHeight="1">
      <c r="B19" s="18" t="inlineStr">
        <is>
          <t>Bairro</t>
        </is>
      </c>
      <c r="C19" s="19" t="n"/>
      <c r="E19" s="22" t="inlineStr">
        <is>
          <t>Centro</t>
        </is>
      </c>
    </row>
    <row r="20" ht="21" customHeight="1">
      <c r="B20" s="18" t="inlineStr">
        <is>
          <t>Cidade</t>
        </is>
      </c>
      <c r="C20" s="19" t="n"/>
      <c r="E20" s="22" t="inlineStr">
        <is>
          <t>Sao Paulo</t>
        </is>
      </c>
    </row>
    <row r="21" ht="21" customHeight="1">
      <c r="B21" s="18" t="inlineStr">
        <is>
          <t>UF</t>
        </is>
      </c>
      <c r="C21" s="19" t="n"/>
      <c r="E21" s="22" t="inlineStr">
        <is>
          <t>SP</t>
        </is>
      </c>
    </row>
    <row r="22" ht="21" customHeight="1">
      <c r="B22" s="18" t="inlineStr">
        <is>
          <t>Primeira declaracao?</t>
        </is>
      </c>
      <c r="C22" s="19" t="n"/>
      <c r="E22" s="22" t="inlineStr">
        <is>
          <t>Nao</t>
        </is>
      </c>
    </row>
    <row r="23" ht="21" customHeight="1">
      <c r="B23" s="18" t="inlineStr">
        <is>
          <t>Houve alteracoes desde a ultima entrega?</t>
        </is>
      </c>
      <c r="C23" s="19" t="n"/>
      <c r="E23" s="22" t="inlineStr">
        <is>
          <t>Sim</t>
        </is>
      </c>
    </row>
    <row r="24" ht="21" customHeight="1">
      <c r="B24" s="18" t="inlineStr">
        <is>
          <t>Possui conjuge / companheiro(a)?</t>
        </is>
      </c>
      <c r="C24" s="19" t="n"/>
      <c r="E24" s="22" t="inlineStr">
        <is>
          <t>Sim</t>
        </is>
      </c>
    </row>
    <row r="25" ht="21" customHeight="1">
      <c r="B25" s="18" t="inlineStr">
        <is>
          <t>Residente no exterior?</t>
        </is>
      </c>
      <c r="C25" s="19" t="n"/>
      <c r="E25" s="22" t="inlineStr">
        <is>
          <t>Nao</t>
        </is>
      </c>
    </row>
    <row r="27">
      <c r="B27" s="26" t="inlineStr">
        <is>
          <t>* Preencha antes de iniciar a declaracao no programa da Receita. O CPF e a data de nascimento sao obrigatorios para o acesso ao e-CAC.</t>
        </is>
      </c>
    </row>
  </sheetData>
  <mergeCells count="24">
    <mergeCell ref="B4:F4"/>
    <mergeCell ref="E12:F12"/>
    <mergeCell ref="E24:F24"/>
    <mergeCell ref="E23:F23"/>
    <mergeCell ref="E14:F14"/>
    <mergeCell ref="E17:F17"/>
    <mergeCell ref="B2:E3"/>
    <mergeCell ref="E8:F8"/>
    <mergeCell ref="E20:F20"/>
    <mergeCell ref="F1:F3"/>
    <mergeCell ref="E10:F10"/>
    <mergeCell ref="E19:F19"/>
    <mergeCell ref="E13:F13"/>
    <mergeCell ref="E9:F9"/>
    <mergeCell ref="E6:F6"/>
    <mergeCell ref="E15:F15"/>
    <mergeCell ref="E11:F11"/>
    <mergeCell ref="B1:E1"/>
    <mergeCell ref="E16:F16"/>
    <mergeCell ref="E7:F7"/>
    <mergeCell ref="E25:F25"/>
    <mergeCell ref="E22:F22"/>
    <mergeCell ref="E18:F18"/>
    <mergeCell ref="E21:F21"/>
  </mergeCells>
  <dataValidations count="6">
    <dataValidation sqref="C12" showDropDown="0" showInputMessage="1" showErrorMessage="1" allowBlank="1" errorTitle="Valor invalido" error="Selecione um item da lista suspensa." promptTitle="Selecione" prompt="Selecione na lista" type="list">
      <formula1>=OCUPACAO</formula1>
    </dataValidation>
    <dataValidation sqref="C21" showDropDown="0" showInputMessage="1" showErrorMessage="1" allowBlank="1" errorTitle="Valor invalido" error="Selecione um item da lista suspensa." promptTitle="Selecione" prompt="Selecione na lista" type="list">
      <formula1>=UF</formula1>
    </dataValidation>
    <dataValidation sqref="C22" showDropDown="0" showInputMessage="1" showErrorMessage="1" allowBlank="1" errorTitle="Valor invalido" error="Selecione um item da lista suspensa." promptTitle="Selecione" prompt="Selecione na lista" type="list">
      <formula1>=SIM_NAO</formula1>
    </dataValidation>
    <dataValidation sqref="C23" showDropDown="0" showInputMessage="1" showErrorMessage="1" allowBlank="1" errorTitle="Valor invalido" error="Selecione um item da lista suspensa." promptTitle="Selecione" prompt="Selecione na lista" type="list">
      <formula1>=SIM_NAO</formula1>
    </dataValidation>
    <dataValidation sqref="C24" showDropDown="0" showInputMessage="1" showErrorMessage="1" allowBlank="1" errorTitle="Valor invalido" error="Selecione um item da lista suspensa." promptTitle="Selecione" prompt="Selecione na lista" type="list">
      <formula1>=SIM_NAO</formula1>
    </dataValidation>
    <dataValidation sqref="C25" showDropDown="0" showInputMessage="1" showErrorMessage="1" allowBlank="1" errorTitle="Valor invalido" error="Selecione um item da lista suspensa." promptTitle="Selecione" prompt="Selecione na lista" type="list">
      <formula1>=SIM_NAO</formula1>
    </dataValidation>
  </dataValidations>
  <hyperlinks>
    <hyperlink ref="F1" location="'INICIO'!A1" display="Inicio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88A8"/>
    <outlinePr summaryBelow="1" summaryRight="1"/>
    <pageSetUpPr/>
  </sheetPr>
  <dimension ref="B1:K3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26" customWidth="1" min="3" max="3"/>
    <col width="20" customWidth="1" min="4" max="4"/>
    <col width="14" customWidth="1" min="5" max="5"/>
    <col width="18" customWidth="1" min="6" max="6"/>
    <col width="18" customWidth="1" min="7" max="7"/>
    <col width="18" customWidth="1" min="8" max="8"/>
    <col width="15" customWidth="1" min="9" max="9"/>
  </cols>
  <sheetData>
    <row r="1" ht="20" customHeight="1">
      <c r="B1" s="12" t="inlineStr">
        <is>
          <t>AGREGADOR DE IMPOSTO DE RENDA</t>
        </is>
      </c>
      <c r="C1" s="13" t="n"/>
      <c r="D1" s="13" t="n"/>
      <c r="E1" s="13" t="n"/>
      <c r="F1" s="13" t="n"/>
      <c r="G1" s="13" t="n"/>
      <c r="H1" s="13" t="n"/>
      <c r="I1" s="14" t="inlineStr">
        <is>
          <t>Inicio</t>
        </is>
      </c>
    </row>
    <row r="2" ht="20" customHeight="1">
      <c r="B2" s="15" t="inlineStr">
        <is>
          <t xml:space="preserve">  2.  RENDIMENTOS</t>
        </is>
      </c>
      <c r="C2" s="16" t="n"/>
      <c r="D2" s="16" t="n"/>
      <c r="E2" s="16" t="n"/>
      <c r="F2" s="16" t="n"/>
      <c r="G2" s="16" t="n"/>
      <c r="H2" s="16" t="n"/>
    </row>
    <row r="3" ht="22" customHeight="1">
      <c r="B3" s="16" t="n"/>
      <c r="C3" s="16" t="n"/>
      <c r="D3" s="16" t="n"/>
      <c r="E3" s="16" t="n"/>
      <c r="F3" s="16" t="n"/>
      <c r="G3" s="16" t="n"/>
      <c r="H3" s="16" t="n"/>
    </row>
    <row r="4" ht="18" customHeight="1">
      <c r="B4" s="17" t="inlineStr">
        <is>
          <t xml:space="preserve">   Registre todas as fontes de renda do ano-base, separando titular e dependentes.</t>
        </is>
      </c>
    </row>
    <row r="6" ht="30" customHeight="1">
      <c r="B6" s="27" t="inlineStr">
        <is>
          <t>Categoria</t>
        </is>
      </c>
      <c r="C6" s="27" t="inlineStr">
        <is>
          <t>Fonte pagadora</t>
        </is>
      </c>
      <c r="D6" s="27" t="inlineStr">
        <is>
          <t>CNPJ/CPF da fonte</t>
        </is>
      </c>
      <c r="E6" s="27" t="inlineStr">
        <is>
          <t>Titular/Dep.</t>
        </is>
      </c>
      <c r="F6" s="27" t="inlineStr">
        <is>
          <t>Valor tributavel (R$)</t>
        </is>
      </c>
      <c r="G6" s="27" t="inlineStr">
        <is>
          <t>Rend. isento (R$)</t>
        </is>
      </c>
      <c r="H6" s="27" t="inlineStr">
        <is>
          <t>Imposto retido (R$)</t>
        </is>
      </c>
      <c r="I6" s="27" t="inlineStr">
        <is>
          <t>Comprovante</t>
        </is>
      </c>
    </row>
    <row r="7">
      <c r="B7" s="28" t="inlineStr">
        <is>
          <t>Salario / CLT</t>
        </is>
      </c>
      <c r="C7" s="28" t="inlineStr">
        <is>
          <t>Empresa Exemplo LTDA</t>
        </is>
      </c>
      <c r="D7" s="28" t="inlineStr">
        <is>
          <t>12.345.678/0001-99</t>
        </is>
      </c>
      <c r="E7" s="28" t="inlineStr">
        <is>
          <t>Titular</t>
        </is>
      </c>
      <c r="F7" s="29" t="n">
        <v>54000</v>
      </c>
      <c r="G7" s="29" t="n">
        <v>0</v>
      </c>
      <c r="H7" s="29" t="n">
        <v>4200</v>
      </c>
      <c r="I7" s="28" t="inlineStr">
        <is>
          <t>Anexado</t>
        </is>
      </c>
    </row>
    <row r="8">
      <c r="B8" s="30" t="inlineStr">
        <is>
          <t>Aposentadoria / Pensao (INSS)</t>
        </is>
      </c>
      <c r="C8" s="30" t="inlineStr">
        <is>
          <t>INSS</t>
        </is>
      </c>
      <c r="D8" s="30" t="inlineStr">
        <is>
          <t>29.979.036/0001-40</t>
        </is>
      </c>
      <c r="E8" s="30" t="inlineStr">
        <is>
          <t>Titular</t>
        </is>
      </c>
      <c r="F8" s="31" t="n">
        <v>0</v>
      </c>
      <c r="G8" s="31" t="n">
        <v>28000</v>
      </c>
      <c r="H8" s="31" t="n">
        <v>0</v>
      </c>
      <c r="I8" s="30" t="inlineStr">
        <is>
          <t>Recebido</t>
        </is>
      </c>
    </row>
    <row r="9">
      <c r="B9" s="28" t="inlineStr">
        <is>
          <t>Alugueis</t>
        </is>
      </c>
      <c r="C9" s="28" t="inlineStr">
        <is>
          <t>Imovel Rua das Demonstracoes (aluguel)</t>
        </is>
      </c>
      <c r="D9" s="28" t="inlineStr"/>
      <c r="E9" s="28" t="inlineStr">
        <is>
          <t>Titular</t>
        </is>
      </c>
      <c r="F9" s="29" t="n">
        <v>14400</v>
      </c>
      <c r="G9" s="29" t="n">
        <v>0</v>
      </c>
      <c r="H9" s="29" t="n">
        <v>0</v>
      </c>
      <c r="I9" s="28" t="inlineStr">
        <is>
          <t>Pendente</t>
        </is>
      </c>
    </row>
    <row r="10">
      <c r="B10" s="30" t="n"/>
      <c r="C10" s="30" t="n"/>
      <c r="D10" s="30" t="n"/>
      <c r="E10" s="30" t="n"/>
      <c r="F10" s="31" t="n"/>
      <c r="G10" s="31" t="n"/>
      <c r="H10" s="31" t="n"/>
      <c r="I10" s="30" t="n"/>
    </row>
    <row r="11">
      <c r="B11" s="28" t="n"/>
      <c r="C11" s="28" t="n"/>
      <c r="D11" s="28" t="n"/>
      <c r="E11" s="28" t="n"/>
      <c r="F11" s="29" t="n"/>
      <c r="G11" s="29" t="n"/>
      <c r="H11" s="29" t="n"/>
      <c r="I11" s="28" t="n"/>
    </row>
    <row r="12">
      <c r="B12" s="30" t="n"/>
      <c r="C12" s="30" t="n"/>
      <c r="D12" s="30" t="n"/>
      <c r="E12" s="30" t="n"/>
      <c r="F12" s="31" t="n"/>
      <c r="G12" s="31" t="n"/>
      <c r="H12" s="31" t="n"/>
      <c r="I12" s="30" t="n"/>
    </row>
    <row r="13">
      <c r="B13" s="28" t="n"/>
      <c r="C13" s="28" t="n"/>
      <c r="D13" s="28" t="n"/>
      <c r="E13" s="28" t="n"/>
      <c r="F13" s="29" t="n"/>
      <c r="G13" s="29" t="n"/>
      <c r="H13" s="29" t="n"/>
      <c r="I13" s="28" t="n"/>
    </row>
    <row r="14">
      <c r="B14" s="30" t="n"/>
      <c r="C14" s="30" t="n"/>
      <c r="D14" s="30" t="n"/>
      <c r="E14" s="30" t="n"/>
      <c r="F14" s="31" t="n"/>
      <c r="G14" s="31" t="n"/>
      <c r="H14" s="31" t="n"/>
      <c r="I14" s="30" t="n"/>
    </row>
    <row r="15">
      <c r="B15" s="28" t="n"/>
      <c r="C15" s="28" t="n"/>
      <c r="D15" s="28" t="n"/>
      <c r="E15" s="28" t="n"/>
      <c r="F15" s="29" t="n"/>
      <c r="G15" s="29" t="n"/>
      <c r="H15" s="29" t="n"/>
      <c r="I15" s="28" t="n"/>
    </row>
    <row r="16">
      <c r="B16" s="30" t="n"/>
      <c r="C16" s="30" t="n"/>
      <c r="D16" s="30" t="n"/>
      <c r="E16" s="30" t="n"/>
      <c r="F16" s="31" t="n"/>
      <c r="G16" s="31" t="n"/>
      <c r="H16" s="31" t="n"/>
      <c r="I16" s="30" t="n"/>
    </row>
    <row r="17">
      <c r="B17" s="28" t="n"/>
      <c r="C17" s="28" t="n"/>
      <c r="D17" s="28" t="n"/>
      <c r="E17" s="28" t="n"/>
      <c r="F17" s="29" t="n"/>
      <c r="G17" s="29" t="n"/>
      <c r="H17" s="29" t="n"/>
      <c r="I17" s="28" t="n"/>
    </row>
    <row r="18">
      <c r="B18" s="30" t="n"/>
      <c r="C18" s="30" t="n"/>
      <c r="D18" s="30" t="n"/>
      <c r="E18" s="30" t="n"/>
      <c r="F18" s="31" t="n"/>
      <c r="G18" s="31" t="n"/>
      <c r="H18" s="31" t="n"/>
      <c r="I18" s="30" t="n"/>
    </row>
    <row r="19">
      <c r="B19" s="28" t="n"/>
      <c r="C19" s="28" t="n"/>
      <c r="D19" s="28" t="n"/>
      <c r="E19" s="28" t="n"/>
      <c r="F19" s="29" t="n"/>
      <c r="G19" s="29" t="n"/>
      <c r="H19" s="29" t="n"/>
      <c r="I19" s="28" t="n"/>
    </row>
    <row r="20">
      <c r="B20" s="30" t="n"/>
      <c r="C20" s="30" t="n"/>
      <c r="D20" s="30" t="n"/>
      <c r="E20" s="30" t="n"/>
      <c r="F20" s="31" t="n"/>
      <c r="G20" s="31" t="n"/>
      <c r="H20" s="31" t="n"/>
      <c r="I20" s="30" t="n"/>
    </row>
    <row r="21">
      <c r="B21" s="28" t="n"/>
      <c r="C21" s="28" t="n"/>
      <c r="D21" s="28" t="n"/>
      <c r="E21" s="28" t="n"/>
      <c r="F21" s="29" t="n"/>
      <c r="G21" s="29" t="n"/>
      <c r="H21" s="29" t="n"/>
      <c r="I21" s="28" t="n"/>
    </row>
    <row r="22">
      <c r="B22" s="30" t="n"/>
      <c r="C22" s="30" t="n"/>
      <c r="D22" s="30" t="n"/>
      <c r="E22" s="30" t="n"/>
      <c r="F22" s="31" t="n"/>
      <c r="G22" s="31" t="n"/>
      <c r="H22" s="31" t="n"/>
      <c r="I22" s="30" t="n"/>
    </row>
    <row r="23">
      <c r="B23" s="28" t="n"/>
      <c r="C23" s="28" t="n"/>
      <c r="D23" s="28" t="n"/>
      <c r="E23" s="28" t="n"/>
      <c r="F23" s="29" t="n"/>
      <c r="G23" s="29" t="n"/>
      <c r="H23" s="29" t="n"/>
      <c r="I23" s="28" t="n"/>
    </row>
    <row r="24">
      <c r="B24" s="30" t="n"/>
      <c r="C24" s="30" t="n"/>
      <c r="D24" s="30" t="n"/>
      <c r="E24" s="30" t="n"/>
      <c r="F24" s="31" t="n"/>
      <c r="G24" s="31" t="n"/>
      <c r="H24" s="31" t="n"/>
      <c r="I24" s="30" t="n"/>
    </row>
    <row r="25">
      <c r="B25" s="28" t="n"/>
      <c r="C25" s="28" t="n"/>
      <c r="D25" s="28" t="n"/>
      <c r="E25" s="28" t="n"/>
      <c r="F25" s="29" t="n"/>
      <c r="G25" s="29" t="n"/>
      <c r="H25" s="29" t="n"/>
      <c r="I25" s="28" t="n"/>
    </row>
    <row r="26">
      <c r="B26" s="30" t="n"/>
      <c r="C26" s="30" t="n"/>
      <c r="D26" s="30" t="n"/>
      <c r="E26" s="30" t="n"/>
      <c r="F26" s="31" t="n"/>
      <c r="G26" s="31" t="n"/>
      <c r="H26" s="31" t="n"/>
      <c r="I26" s="30" t="n"/>
    </row>
    <row r="27">
      <c r="B27" s="28" t="n"/>
      <c r="C27" s="28" t="n"/>
      <c r="D27" s="28" t="n"/>
      <c r="E27" s="28" t="n"/>
      <c r="F27" s="29" t="n"/>
      <c r="G27" s="29" t="n"/>
      <c r="H27" s="29" t="n"/>
      <c r="I27" s="28" t="n"/>
    </row>
    <row r="28">
      <c r="B28" s="30" t="n"/>
      <c r="C28" s="30" t="n"/>
      <c r="D28" s="30" t="n"/>
      <c r="E28" s="30" t="n"/>
      <c r="F28" s="31" t="n"/>
      <c r="G28" s="31" t="n"/>
      <c r="H28" s="31" t="n"/>
      <c r="I28" s="30" t="n"/>
    </row>
    <row r="29">
      <c r="B29" s="28" t="n"/>
      <c r="C29" s="28" t="n"/>
      <c r="D29" s="28" t="n"/>
      <c r="E29" s="28" t="n"/>
      <c r="F29" s="29" t="n"/>
      <c r="G29" s="29" t="n"/>
      <c r="H29" s="29" t="n"/>
      <c r="I29" s="28" t="n"/>
    </row>
    <row r="30">
      <c r="B30" s="30" t="n"/>
      <c r="C30" s="30" t="n"/>
      <c r="D30" s="30" t="n"/>
      <c r="E30" s="30" t="n"/>
      <c r="F30" s="31" t="n"/>
      <c r="G30" s="31" t="n"/>
      <c r="H30" s="31" t="n"/>
      <c r="I30" s="30" t="n"/>
    </row>
    <row r="31">
      <c r="B31" s="28" t="n"/>
      <c r="C31" s="28" t="n"/>
      <c r="D31" s="28" t="n"/>
      <c r="E31" s="28" t="n"/>
      <c r="F31" s="29" t="n"/>
      <c r="G31" s="29" t="n"/>
      <c r="H31" s="29" t="n"/>
      <c r="I31" s="28" t="n"/>
    </row>
    <row r="32" ht="22" customHeight="1">
      <c r="B32" s="32" t="inlineStr">
        <is>
          <t>TOTAL</t>
        </is>
      </c>
      <c r="C32" s="33" t="n"/>
      <c r="D32" s="33" t="n"/>
      <c r="E32" s="33" t="n"/>
      <c r="F32" s="34">
        <f>SUM(F7:F31)</f>
        <v/>
      </c>
      <c r="G32" s="34">
        <f>SUM(G7:G31)</f>
        <v/>
      </c>
      <c r="H32" s="34">
        <f>SUM(H7:H31)</f>
        <v/>
      </c>
      <c r="I32" s="33" t="n"/>
    </row>
    <row r="34">
      <c r="B34" s="26" t="inlineStr">
        <is>
          <t>Dados de exemplo sao ficticios. Preencha novas linhas dentro da tabela; os totais se atualizam automaticamente.</t>
        </is>
      </c>
    </row>
  </sheetData>
  <mergeCells count="4">
    <mergeCell ref="B1:H1"/>
    <mergeCell ref="I1:I3"/>
    <mergeCell ref="B4:I4"/>
    <mergeCell ref="B2:H3"/>
  </mergeCells>
  <conditionalFormatting sqref="I7:I31">
    <cfRule type="cellIs" priority="1" operator="equal" dxfId="0">
      <formula>"Pendente"</formula>
    </cfRule>
    <cfRule type="cellIs" priority="2" operator="equal" dxfId="1">
      <formula>"Solicitado"</formula>
    </cfRule>
    <cfRule type="cellIs" priority="3" operator="equal" dxfId="2">
      <formula>"Recebido"</formula>
    </cfRule>
    <cfRule type="cellIs" priority="4" operator="equal" dxfId="2">
      <formula>"Anexado"</formula>
    </cfRule>
  </conditionalFormatting>
  <dataValidations count="3">
    <dataValidation sqref="B7:B31" showDropDown="0" showInputMessage="1" showErrorMessage="1" allowBlank="1" errorTitle="Valor invalido" error="Selecione um item da lista suspensa." promptTitle="Selecione" prompt="Selecione" type="list">
      <formula1>=CAT_REND</formula1>
    </dataValidation>
    <dataValidation sqref="E7:E31" showDropDown="0" showInputMessage="1" showErrorMessage="1" allowBlank="1" errorTitle="Valor invalido" error="Selecione um item da lista suspensa." promptTitle="Selecione" prompt="Selecione" type="list">
      <formula1>=TITDEP</formula1>
    </dataValidation>
    <dataValidation sqref="I7:I31" showDropDown="0" showInputMessage="1" showErrorMessage="1" allowBlank="1" errorTitle="Valor invalido" error="Selecione um item da lista suspensa." promptTitle="Selecione" prompt="Selecione" type="list">
      <formula1>=STATUS_DOC</formula1>
    </dataValidation>
  </dataValidations>
  <hyperlinks>
    <hyperlink ref="I1" location="'INICIO'!A1" display="Inicio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E7D8A"/>
    <outlinePr summaryBelow="1" summaryRight="1"/>
    <pageSetUpPr/>
  </sheetPr>
  <dimension ref="B1:J3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30" customWidth="1" min="3" max="3"/>
    <col width="24" customWidth="1" min="4" max="4"/>
    <col width="20" customWidth="1" min="5" max="5"/>
    <col width="20" customWidth="1" min="6" max="6"/>
    <col width="16" customWidth="1" min="7" max="7"/>
    <col width="15" customWidth="1" min="8" max="8"/>
  </cols>
  <sheetData>
    <row r="1" ht="20" customHeight="1">
      <c r="B1" s="12" t="inlineStr">
        <is>
          <t>AGREGADOR DE IMPOSTO DE RENDA</t>
        </is>
      </c>
      <c r="C1" s="13" t="n"/>
      <c r="D1" s="13" t="n"/>
      <c r="E1" s="13" t="n"/>
      <c r="F1" s="13" t="n"/>
      <c r="G1" s="13" t="n"/>
      <c r="H1" s="14" t="inlineStr">
        <is>
          <t>Inicio</t>
        </is>
      </c>
    </row>
    <row r="2" ht="20" customHeight="1">
      <c r="B2" s="15" t="inlineStr">
        <is>
          <t xml:space="preserve">  3.  BENS E DIREITOS</t>
        </is>
      </c>
      <c r="C2" s="16" t="n"/>
      <c r="D2" s="16" t="n"/>
      <c r="E2" s="16" t="n"/>
      <c r="F2" s="16" t="n"/>
      <c r="G2" s="16" t="n"/>
    </row>
    <row r="3" ht="22" customHeight="1">
      <c r="B3" s="16" t="n"/>
      <c r="C3" s="16" t="n"/>
      <c r="D3" s="16" t="n"/>
      <c r="E3" s="16" t="n"/>
      <c r="F3" s="16" t="n"/>
      <c r="G3" s="16" t="n"/>
    </row>
    <row r="4" ht="18" customHeight="1">
      <c r="B4" s="17" t="inlineStr">
        <is>
          <t xml:space="preserve">   Relacione os bens e direitos em 31/12. A variacao (atual - anterior) e calculada automaticamente.</t>
        </is>
      </c>
    </row>
    <row r="6" ht="30" customHeight="1">
      <c r="B6" s="27" t="inlineStr">
        <is>
          <t>Grupo / Tipo</t>
        </is>
      </c>
      <c r="C6" s="27" t="inlineStr">
        <is>
          <t>Descricao do bem</t>
        </is>
      </c>
      <c r="D6" s="27" t="inlineStr">
        <is>
          <t>Localizacao / Instituicao</t>
        </is>
      </c>
      <c r="E6" s="27" t="inlineStr">
        <is>
          <t>Situacao 31/12 ANTERIOR (R$)</t>
        </is>
      </c>
      <c r="F6" s="27" t="inlineStr">
        <is>
          <t>Situacao 31/12 ATUAL (R$)</t>
        </is>
      </c>
      <c r="G6" s="27" t="inlineStr">
        <is>
          <t>Variacao (R$)</t>
        </is>
      </c>
      <c r="H6" s="27" t="inlineStr">
        <is>
          <t>Comprovante</t>
        </is>
      </c>
    </row>
    <row r="7">
      <c r="B7" s="28" t="inlineStr">
        <is>
          <t>Imovel</t>
        </is>
      </c>
      <c r="C7" s="28" t="inlineStr">
        <is>
          <t>Apartamento 2 quartos (exemplo)</t>
        </is>
      </c>
      <c r="D7" s="28" t="inlineStr">
        <is>
          <t>Sao Paulo/SP</t>
        </is>
      </c>
      <c r="E7" s="29" t="n">
        <v>180000</v>
      </c>
      <c r="F7" s="29" t="n">
        <v>180000</v>
      </c>
      <c r="G7" s="29">
        <f>IF(AND(E7="",F7=""),"",IFERROR(F7-E7,""))</f>
        <v/>
      </c>
      <c r="H7" s="28" t="inlineStr">
        <is>
          <t>Anexado</t>
        </is>
      </c>
    </row>
    <row r="8">
      <c r="B8" s="30" t="inlineStr">
        <is>
          <t>Veiculo</t>
        </is>
      </c>
      <c r="C8" s="30" t="inlineStr">
        <is>
          <t>Automovel popular 2019</t>
        </is>
      </c>
      <c r="D8" s="30" t="inlineStr">
        <is>
          <t>Sao Paulo/SP</t>
        </is>
      </c>
      <c r="E8" s="31" t="n">
        <v>45000</v>
      </c>
      <c r="F8" s="31" t="n">
        <v>40000</v>
      </c>
      <c r="G8" s="31">
        <f>IF(AND(E8="",F8=""),"",IFERROR(F8-E8,""))</f>
        <v/>
      </c>
      <c r="H8" s="30" t="inlineStr">
        <is>
          <t>Recebido</t>
        </is>
      </c>
    </row>
    <row r="9">
      <c r="B9" s="28" t="inlineStr">
        <is>
          <t>Conta corrente / poupanca</t>
        </is>
      </c>
      <c r="C9" s="28" t="inlineStr">
        <is>
          <t>Conta corrente</t>
        </is>
      </c>
      <c r="D9" s="28" t="inlineStr">
        <is>
          <t>260 - Nubank</t>
        </is>
      </c>
      <c r="E9" s="29" t="n">
        <v>8000</v>
      </c>
      <c r="F9" s="29" t="n">
        <v>12500</v>
      </c>
      <c r="G9" s="29">
        <f>IF(AND(E9="",F9=""),"",IFERROR(F9-E9,""))</f>
        <v/>
      </c>
      <c r="H9" s="28" t="inlineStr">
        <is>
          <t>Pendente</t>
        </is>
      </c>
    </row>
    <row r="10">
      <c r="B10" s="30" t="n"/>
      <c r="C10" s="30" t="n"/>
      <c r="D10" s="30" t="n"/>
      <c r="E10" s="31" t="n"/>
      <c r="F10" s="31" t="n"/>
      <c r="G10" s="31">
        <f>IF(AND(E10="",F10=""),"",IFERROR(F10-E10,""))</f>
        <v/>
      </c>
      <c r="H10" s="30" t="n"/>
    </row>
    <row r="11">
      <c r="B11" s="28" t="n"/>
      <c r="C11" s="28" t="n"/>
      <c r="D11" s="28" t="n"/>
      <c r="E11" s="29" t="n"/>
      <c r="F11" s="29" t="n"/>
      <c r="G11" s="29">
        <f>IF(AND(E11="",F11=""),"",IFERROR(F11-E11,""))</f>
        <v/>
      </c>
      <c r="H11" s="28" t="n"/>
    </row>
    <row r="12">
      <c r="B12" s="30" t="n"/>
      <c r="C12" s="30" t="n"/>
      <c r="D12" s="30" t="n"/>
      <c r="E12" s="31" t="n"/>
      <c r="F12" s="31" t="n"/>
      <c r="G12" s="31">
        <f>IF(AND(E12="",F12=""),"",IFERROR(F12-E12,""))</f>
        <v/>
      </c>
      <c r="H12" s="30" t="n"/>
    </row>
    <row r="13">
      <c r="B13" s="28" t="n"/>
      <c r="C13" s="28" t="n"/>
      <c r="D13" s="28" t="n"/>
      <c r="E13" s="29" t="n"/>
      <c r="F13" s="29" t="n"/>
      <c r="G13" s="29">
        <f>IF(AND(E13="",F13=""),"",IFERROR(F13-E13,""))</f>
        <v/>
      </c>
      <c r="H13" s="28" t="n"/>
    </row>
    <row r="14">
      <c r="B14" s="30" t="n"/>
      <c r="C14" s="30" t="n"/>
      <c r="D14" s="30" t="n"/>
      <c r="E14" s="31" t="n"/>
      <c r="F14" s="31" t="n"/>
      <c r="G14" s="31">
        <f>IF(AND(E14="",F14=""),"",IFERROR(F14-E14,""))</f>
        <v/>
      </c>
      <c r="H14" s="30" t="n"/>
    </row>
    <row r="15">
      <c r="B15" s="28" t="n"/>
      <c r="C15" s="28" t="n"/>
      <c r="D15" s="28" t="n"/>
      <c r="E15" s="29" t="n"/>
      <c r="F15" s="29" t="n"/>
      <c r="G15" s="29">
        <f>IF(AND(E15="",F15=""),"",IFERROR(F15-E15,""))</f>
        <v/>
      </c>
      <c r="H15" s="28" t="n"/>
    </row>
    <row r="16">
      <c r="B16" s="30" t="n"/>
      <c r="C16" s="30" t="n"/>
      <c r="D16" s="30" t="n"/>
      <c r="E16" s="31" t="n"/>
      <c r="F16" s="31" t="n"/>
      <c r="G16" s="31">
        <f>IF(AND(E16="",F16=""),"",IFERROR(F16-E16,""))</f>
        <v/>
      </c>
      <c r="H16" s="30" t="n"/>
    </row>
    <row r="17">
      <c r="B17" s="28" t="n"/>
      <c r="C17" s="28" t="n"/>
      <c r="D17" s="28" t="n"/>
      <c r="E17" s="29" t="n"/>
      <c r="F17" s="29" t="n"/>
      <c r="G17" s="29">
        <f>IF(AND(E17="",F17=""),"",IFERROR(F17-E17,""))</f>
        <v/>
      </c>
      <c r="H17" s="28" t="n"/>
    </row>
    <row r="18">
      <c r="B18" s="30" t="n"/>
      <c r="C18" s="30" t="n"/>
      <c r="D18" s="30" t="n"/>
      <c r="E18" s="31" t="n"/>
      <c r="F18" s="31" t="n"/>
      <c r="G18" s="31">
        <f>IF(AND(E18="",F18=""),"",IFERROR(F18-E18,""))</f>
        <v/>
      </c>
      <c r="H18" s="30" t="n"/>
    </row>
    <row r="19">
      <c r="B19" s="28" t="n"/>
      <c r="C19" s="28" t="n"/>
      <c r="D19" s="28" t="n"/>
      <c r="E19" s="29" t="n"/>
      <c r="F19" s="29" t="n"/>
      <c r="G19" s="29">
        <f>IF(AND(E19="",F19=""),"",IFERROR(F19-E19,""))</f>
        <v/>
      </c>
      <c r="H19" s="28" t="n"/>
    </row>
    <row r="20">
      <c r="B20" s="30" t="n"/>
      <c r="C20" s="30" t="n"/>
      <c r="D20" s="30" t="n"/>
      <c r="E20" s="31" t="n"/>
      <c r="F20" s="31" t="n"/>
      <c r="G20" s="31">
        <f>IF(AND(E20="",F20=""),"",IFERROR(F20-E20,""))</f>
        <v/>
      </c>
      <c r="H20" s="30" t="n"/>
    </row>
    <row r="21">
      <c r="B21" s="28" t="n"/>
      <c r="C21" s="28" t="n"/>
      <c r="D21" s="28" t="n"/>
      <c r="E21" s="29" t="n"/>
      <c r="F21" s="29" t="n"/>
      <c r="G21" s="29">
        <f>IF(AND(E21="",F21=""),"",IFERROR(F21-E21,""))</f>
        <v/>
      </c>
      <c r="H21" s="28" t="n"/>
    </row>
    <row r="22">
      <c r="B22" s="30" t="n"/>
      <c r="C22" s="30" t="n"/>
      <c r="D22" s="30" t="n"/>
      <c r="E22" s="31" t="n"/>
      <c r="F22" s="31" t="n"/>
      <c r="G22" s="31">
        <f>IF(AND(E22="",F22=""),"",IFERROR(F22-E22,""))</f>
        <v/>
      </c>
      <c r="H22" s="30" t="n"/>
    </row>
    <row r="23">
      <c r="B23" s="28" t="n"/>
      <c r="C23" s="28" t="n"/>
      <c r="D23" s="28" t="n"/>
      <c r="E23" s="29" t="n"/>
      <c r="F23" s="29" t="n"/>
      <c r="G23" s="29">
        <f>IF(AND(E23="",F23=""),"",IFERROR(F23-E23,""))</f>
        <v/>
      </c>
      <c r="H23" s="28" t="n"/>
    </row>
    <row r="24">
      <c r="B24" s="30" t="n"/>
      <c r="C24" s="30" t="n"/>
      <c r="D24" s="30" t="n"/>
      <c r="E24" s="31" t="n"/>
      <c r="F24" s="31" t="n"/>
      <c r="G24" s="31">
        <f>IF(AND(E24="",F24=""),"",IFERROR(F24-E24,""))</f>
        <v/>
      </c>
      <c r="H24" s="30" t="n"/>
    </row>
    <row r="25">
      <c r="B25" s="28" t="n"/>
      <c r="C25" s="28" t="n"/>
      <c r="D25" s="28" t="n"/>
      <c r="E25" s="29" t="n"/>
      <c r="F25" s="29" t="n"/>
      <c r="G25" s="29">
        <f>IF(AND(E25="",F25=""),"",IFERROR(F25-E25,""))</f>
        <v/>
      </c>
      <c r="H25" s="28" t="n"/>
    </row>
    <row r="26">
      <c r="B26" s="30" t="n"/>
      <c r="C26" s="30" t="n"/>
      <c r="D26" s="30" t="n"/>
      <c r="E26" s="31" t="n"/>
      <c r="F26" s="31" t="n"/>
      <c r="G26" s="31">
        <f>IF(AND(E26="",F26=""),"",IFERROR(F26-E26,""))</f>
        <v/>
      </c>
      <c r="H26" s="30" t="n"/>
    </row>
    <row r="27">
      <c r="B27" s="28" t="n"/>
      <c r="C27" s="28" t="n"/>
      <c r="D27" s="28" t="n"/>
      <c r="E27" s="29" t="n"/>
      <c r="F27" s="29" t="n"/>
      <c r="G27" s="29">
        <f>IF(AND(E27="",F27=""),"",IFERROR(F27-E27,""))</f>
        <v/>
      </c>
      <c r="H27" s="28" t="n"/>
    </row>
    <row r="28">
      <c r="B28" s="30" t="n"/>
      <c r="C28" s="30" t="n"/>
      <c r="D28" s="30" t="n"/>
      <c r="E28" s="31" t="n"/>
      <c r="F28" s="31" t="n"/>
      <c r="G28" s="31">
        <f>IF(AND(E28="",F28=""),"",IFERROR(F28-E28,""))</f>
        <v/>
      </c>
      <c r="H28" s="30" t="n"/>
    </row>
    <row r="29">
      <c r="B29" s="28" t="n"/>
      <c r="C29" s="28" t="n"/>
      <c r="D29" s="28" t="n"/>
      <c r="E29" s="29" t="n"/>
      <c r="F29" s="29" t="n"/>
      <c r="G29" s="29">
        <f>IF(AND(E29="",F29=""),"",IFERROR(F29-E29,""))</f>
        <v/>
      </c>
      <c r="H29" s="28" t="n"/>
    </row>
    <row r="30">
      <c r="B30" s="30" t="n"/>
      <c r="C30" s="30" t="n"/>
      <c r="D30" s="30" t="n"/>
      <c r="E30" s="31" t="n"/>
      <c r="F30" s="31" t="n"/>
      <c r="G30" s="31">
        <f>IF(AND(E30="",F30=""),"",IFERROR(F30-E30,""))</f>
        <v/>
      </c>
      <c r="H30" s="30" t="n"/>
    </row>
    <row r="31">
      <c r="B31" s="28" t="n"/>
      <c r="C31" s="28" t="n"/>
      <c r="D31" s="28" t="n"/>
      <c r="E31" s="29" t="n"/>
      <c r="F31" s="29" t="n"/>
      <c r="G31" s="29">
        <f>IF(AND(E31="",F31=""),"",IFERROR(F31-E31,""))</f>
        <v/>
      </c>
      <c r="H31" s="28" t="n"/>
    </row>
    <row r="32" ht="22" customHeight="1">
      <c r="B32" s="32" t="inlineStr">
        <is>
          <t>TOTAL</t>
        </is>
      </c>
      <c r="C32" s="33" t="n"/>
      <c r="D32" s="33" t="n"/>
      <c r="E32" s="34">
        <f>SUM(E7:E31)</f>
        <v/>
      </c>
      <c r="F32" s="34">
        <f>SUM(F7:F31)</f>
        <v/>
      </c>
      <c r="G32" s="34">
        <f>SUM(G7:G31)</f>
        <v/>
      </c>
      <c r="H32" s="33" t="n"/>
    </row>
    <row r="34">
      <c r="B34" s="26" t="inlineStr">
        <is>
          <t>Dados de exemplo sao ficticios. Preencha novas linhas dentro da tabela; os totais se atualizam automaticamente.</t>
        </is>
      </c>
    </row>
  </sheetData>
  <mergeCells count="4">
    <mergeCell ref="B4:H4"/>
    <mergeCell ref="B2:G3"/>
    <mergeCell ref="H1:H3"/>
    <mergeCell ref="B1:G1"/>
  </mergeCells>
  <conditionalFormatting sqref="H7:H31">
    <cfRule type="cellIs" priority="1" operator="equal" dxfId="0">
      <formula>"Pendente"</formula>
    </cfRule>
    <cfRule type="cellIs" priority="2" operator="equal" dxfId="1">
      <formula>"Solicitado"</formula>
    </cfRule>
    <cfRule type="cellIs" priority="3" operator="equal" dxfId="2">
      <formula>"Recebido"</formula>
    </cfRule>
    <cfRule type="cellIs" priority="4" operator="equal" dxfId="2">
      <formula>"Anexado"</formula>
    </cfRule>
  </conditionalFormatting>
  <dataValidations count="2">
    <dataValidation sqref="B7:B31" showDropDown="0" showInputMessage="1" showErrorMessage="1" allowBlank="1" errorTitle="Valor invalido" error="Selecione um item da lista suspensa." promptTitle="Selecione" prompt="Selecione" type="list">
      <formula1>=GRUPO_BENS</formula1>
    </dataValidation>
    <dataValidation sqref="H7:H31" showDropDown="0" showInputMessage="1" showErrorMessage="1" allowBlank="1" errorTitle="Valor invalido" error="Selecione um item da lista suspensa." promptTitle="Selecione" prompt="Selecione" type="list">
      <formula1>=STATUS_DOC</formula1>
    </dataValidation>
  </dataValidations>
  <hyperlinks>
    <hyperlink ref="H1" location="'INICIO'!A1" display="Inicio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B77800"/>
    <outlinePr summaryBelow="1" summaryRight="1"/>
    <pageSetUpPr/>
  </sheetPr>
  <dimension ref="B1:J2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26" customWidth="1" min="3" max="3"/>
    <col width="28" customWidth="1" min="4" max="4"/>
    <col width="20" customWidth="1" min="5" max="5"/>
    <col width="20" customWidth="1" min="6" max="6"/>
    <col width="18" customWidth="1" min="7" max="7"/>
    <col width="15" customWidth="1" min="8" max="8"/>
  </cols>
  <sheetData>
    <row r="1" ht="20" customHeight="1">
      <c r="B1" s="12" t="inlineStr">
        <is>
          <t>AGREGADOR DE IMPOSTO DE RENDA</t>
        </is>
      </c>
      <c r="C1" s="13" t="n"/>
      <c r="D1" s="13" t="n"/>
      <c r="E1" s="13" t="n"/>
      <c r="F1" s="13" t="n"/>
      <c r="G1" s="13" t="n"/>
      <c r="H1" s="14" t="inlineStr">
        <is>
          <t>Inicio</t>
        </is>
      </c>
    </row>
    <row r="2" ht="20" customHeight="1">
      <c r="B2" s="15" t="inlineStr">
        <is>
          <t xml:space="preserve">  4.  DIVIDAS E ONUS</t>
        </is>
      </c>
      <c r="C2" s="16" t="n"/>
      <c r="D2" s="16" t="n"/>
      <c r="E2" s="16" t="n"/>
      <c r="F2" s="16" t="n"/>
      <c r="G2" s="16" t="n"/>
    </row>
    <row r="3" ht="22" customHeight="1">
      <c r="B3" s="16" t="n"/>
      <c r="C3" s="16" t="n"/>
      <c r="D3" s="16" t="n"/>
      <c r="E3" s="16" t="n"/>
      <c r="F3" s="16" t="n"/>
      <c r="G3" s="16" t="n"/>
    </row>
    <row r="4" ht="18" customHeight="1">
      <c r="B4" s="17" t="inlineStr">
        <is>
          <t xml:space="preserve">   Registre financiamentos, emprestimos e demais dividas com saldo em 31/12.</t>
        </is>
      </c>
    </row>
    <row r="6" ht="30" customHeight="1">
      <c r="B6" s="27" t="inlineStr">
        <is>
          <t>Tipo</t>
        </is>
      </c>
      <c r="C6" s="27" t="inlineStr">
        <is>
          <t>Credor / Instituicao</t>
        </is>
      </c>
      <c r="D6" s="27" t="inlineStr">
        <is>
          <t>Descricao</t>
        </is>
      </c>
      <c r="E6" s="27" t="inlineStr">
        <is>
          <t>Saldo 31/12 ANTERIOR (R$)</t>
        </is>
      </c>
      <c r="F6" s="27" t="inlineStr">
        <is>
          <t>Saldo 31/12 ATUAL (R$)</t>
        </is>
      </c>
      <c r="G6" s="27" t="inlineStr">
        <is>
          <t>Amortizado no ano (R$)</t>
        </is>
      </c>
      <c r="H6" s="27" t="inlineStr">
        <is>
          <t>Comprovante</t>
        </is>
      </c>
    </row>
    <row r="7">
      <c r="B7" s="28" t="inlineStr">
        <is>
          <t>Financiamento imobiliario</t>
        </is>
      </c>
      <c r="C7" s="28" t="inlineStr">
        <is>
          <t>104 - Caixa Economica Federal</t>
        </is>
      </c>
      <c r="D7" s="28" t="inlineStr">
        <is>
          <t>Financiamento do apartamento</t>
        </is>
      </c>
      <c r="E7" s="29" t="n">
        <v>120000</v>
      </c>
      <c r="F7" s="29" t="n">
        <v>110000</v>
      </c>
      <c r="G7" s="29">
        <f>IF(AND(D7="",E7=""),"",IFERROR(D7-E7,""))</f>
        <v/>
      </c>
      <c r="H7" s="28" t="inlineStr">
        <is>
          <t>Anexado</t>
        </is>
      </c>
    </row>
    <row r="8">
      <c r="B8" s="30" t="inlineStr">
        <is>
          <t>Financiamento de veiculo</t>
        </is>
      </c>
      <c r="C8" s="30" t="inlineStr">
        <is>
          <t>341 - Itau Unibanco</t>
        </is>
      </c>
      <c r="D8" s="30" t="inlineStr">
        <is>
          <t>Financiamento do automovel</t>
        </is>
      </c>
      <c r="E8" s="31" t="n">
        <v>30000</v>
      </c>
      <c r="F8" s="31" t="n">
        <v>20000</v>
      </c>
      <c r="G8" s="31">
        <f>IF(AND(D8="",E8=""),"",IFERROR(D8-E8,""))</f>
        <v/>
      </c>
      <c r="H8" s="30" t="inlineStr">
        <is>
          <t>Pendente</t>
        </is>
      </c>
    </row>
    <row r="9">
      <c r="B9" s="28" t="n"/>
      <c r="C9" s="28" t="n"/>
      <c r="D9" s="28" t="n"/>
      <c r="E9" s="29" t="n"/>
      <c r="F9" s="29" t="n"/>
      <c r="G9" s="29">
        <f>IF(AND(D9="",E9=""),"",IFERROR(D9-E9,""))</f>
        <v/>
      </c>
      <c r="H9" s="28" t="n"/>
    </row>
    <row r="10">
      <c r="B10" s="30" t="n"/>
      <c r="C10" s="30" t="n"/>
      <c r="D10" s="30" t="n"/>
      <c r="E10" s="31" t="n"/>
      <c r="F10" s="31" t="n"/>
      <c r="G10" s="31">
        <f>IF(AND(D10="",E10=""),"",IFERROR(D10-E10,""))</f>
        <v/>
      </c>
      <c r="H10" s="30" t="n"/>
    </row>
    <row r="11">
      <c r="B11" s="28" t="n"/>
      <c r="C11" s="28" t="n"/>
      <c r="D11" s="28" t="n"/>
      <c r="E11" s="29" t="n"/>
      <c r="F11" s="29" t="n"/>
      <c r="G11" s="29">
        <f>IF(AND(D11="",E11=""),"",IFERROR(D11-E11,""))</f>
        <v/>
      </c>
      <c r="H11" s="28" t="n"/>
    </row>
    <row r="12">
      <c r="B12" s="30" t="n"/>
      <c r="C12" s="30" t="n"/>
      <c r="D12" s="30" t="n"/>
      <c r="E12" s="31" t="n"/>
      <c r="F12" s="31" t="n"/>
      <c r="G12" s="31">
        <f>IF(AND(D12="",E12=""),"",IFERROR(D12-E12,""))</f>
        <v/>
      </c>
      <c r="H12" s="30" t="n"/>
    </row>
    <row r="13">
      <c r="B13" s="28" t="n"/>
      <c r="C13" s="28" t="n"/>
      <c r="D13" s="28" t="n"/>
      <c r="E13" s="29" t="n"/>
      <c r="F13" s="29" t="n"/>
      <c r="G13" s="29">
        <f>IF(AND(D13="",E13=""),"",IFERROR(D13-E13,""))</f>
        <v/>
      </c>
      <c r="H13" s="28" t="n"/>
    </row>
    <row r="14">
      <c r="B14" s="30" t="n"/>
      <c r="C14" s="30" t="n"/>
      <c r="D14" s="30" t="n"/>
      <c r="E14" s="31" t="n"/>
      <c r="F14" s="31" t="n"/>
      <c r="G14" s="31">
        <f>IF(AND(D14="",E14=""),"",IFERROR(D14-E14,""))</f>
        <v/>
      </c>
      <c r="H14" s="30" t="n"/>
    </row>
    <row r="15">
      <c r="B15" s="28" t="n"/>
      <c r="C15" s="28" t="n"/>
      <c r="D15" s="28" t="n"/>
      <c r="E15" s="29" t="n"/>
      <c r="F15" s="29" t="n"/>
      <c r="G15" s="29">
        <f>IF(AND(D15="",E15=""),"",IFERROR(D15-E15,""))</f>
        <v/>
      </c>
      <c r="H15" s="28" t="n"/>
    </row>
    <row r="16">
      <c r="B16" s="30" t="n"/>
      <c r="C16" s="30" t="n"/>
      <c r="D16" s="30" t="n"/>
      <c r="E16" s="31" t="n"/>
      <c r="F16" s="31" t="n"/>
      <c r="G16" s="31">
        <f>IF(AND(D16="",E16=""),"",IFERROR(D16-E16,""))</f>
        <v/>
      </c>
      <c r="H16" s="30" t="n"/>
    </row>
    <row r="17">
      <c r="B17" s="28" t="n"/>
      <c r="C17" s="28" t="n"/>
      <c r="D17" s="28" t="n"/>
      <c r="E17" s="29" t="n"/>
      <c r="F17" s="29" t="n"/>
      <c r="G17" s="29">
        <f>IF(AND(D17="",E17=""),"",IFERROR(D17-E17,""))</f>
        <v/>
      </c>
      <c r="H17" s="28" t="n"/>
    </row>
    <row r="18">
      <c r="B18" s="30" t="n"/>
      <c r="C18" s="30" t="n"/>
      <c r="D18" s="30" t="n"/>
      <c r="E18" s="31" t="n"/>
      <c r="F18" s="31" t="n"/>
      <c r="G18" s="31">
        <f>IF(AND(D18="",E18=""),"",IFERROR(D18-E18,""))</f>
        <v/>
      </c>
      <c r="H18" s="30" t="n"/>
    </row>
    <row r="19">
      <c r="B19" s="28" t="n"/>
      <c r="C19" s="28" t="n"/>
      <c r="D19" s="28" t="n"/>
      <c r="E19" s="29" t="n"/>
      <c r="F19" s="29" t="n"/>
      <c r="G19" s="29">
        <f>IF(AND(D19="",E19=""),"",IFERROR(D19-E19,""))</f>
        <v/>
      </c>
      <c r="H19" s="28" t="n"/>
    </row>
    <row r="20">
      <c r="B20" s="30" t="n"/>
      <c r="C20" s="30" t="n"/>
      <c r="D20" s="30" t="n"/>
      <c r="E20" s="31" t="n"/>
      <c r="F20" s="31" t="n"/>
      <c r="G20" s="31">
        <f>IF(AND(D20="",E20=""),"",IFERROR(D20-E20,""))</f>
        <v/>
      </c>
      <c r="H20" s="30" t="n"/>
    </row>
    <row r="21">
      <c r="B21" s="28" t="n"/>
      <c r="C21" s="28" t="n"/>
      <c r="D21" s="28" t="n"/>
      <c r="E21" s="29" t="n"/>
      <c r="F21" s="29" t="n"/>
      <c r="G21" s="29">
        <f>IF(AND(D21="",E21=""),"",IFERROR(D21-E21,""))</f>
        <v/>
      </c>
      <c r="H21" s="28" t="n"/>
    </row>
    <row r="22">
      <c r="B22" s="30" t="n"/>
      <c r="C22" s="30" t="n"/>
      <c r="D22" s="30" t="n"/>
      <c r="E22" s="31" t="n"/>
      <c r="F22" s="31" t="n"/>
      <c r="G22" s="31">
        <f>IF(AND(D22="",E22=""),"",IFERROR(D22-E22,""))</f>
        <v/>
      </c>
      <c r="H22" s="30" t="n"/>
    </row>
    <row r="23">
      <c r="B23" s="28" t="n"/>
      <c r="C23" s="28" t="n"/>
      <c r="D23" s="28" t="n"/>
      <c r="E23" s="29" t="n"/>
      <c r="F23" s="29" t="n"/>
      <c r="G23" s="29">
        <f>IF(AND(D23="",E23=""),"",IFERROR(D23-E23,""))</f>
        <v/>
      </c>
      <c r="H23" s="28" t="n"/>
    </row>
    <row r="24">
      <c r="B24" s="30" t="n"/>
      <c r="C24" s="30" t="n"/>
      <c r="D24" s="30" t="n"/>
      <c r="E24" s="31" t="n"/>
      <c r="F24" s="31" t="n"/>
      <c r="G24" s="31">
        <f>IF(AND(D24="",E24=""),"",IFERROR(D24-E24,""))</f>
        <v/>
      </c>
      <c r="H24" s="30" t="n"/>
    </row>
    <row r="25">
      <c r="B25" s="28" t="n"/>
      <c r="C25" s="28" t="n"/>
      <c r="D25" s="28" t="n"/>
      <c r="E25" s="29" t="n"/>
      <c r="F25" s="29" t="n"/>
      <c r="G25" s="29">
        <f>IF(AND(D25="",E25=""),"",IFERROR(D25-E25,""))</f>
        <v/>
      </c>
      <c r="H25" s="28" t="n"/>
    </row>
    <row r="26">
      <c r="B26" s="30" t="n"/>
      <c r="C26" s="30" t="n"/>
      <c r="D26" s="30" t="n"/>
      <c r="E26" s="31" t="n"/>
      <c r="F26" s="31" t="n"/>
      <c r="G26" s="31">
        <f>IF(AND(D26="",E26=""),"",IFERROR(D26-E26,""))</f>
        <v/>
      </c>
      <c r="H26" s="30" t="n"/>
    </row>
    <row r="27" ht="22" customHeight="1">
      <c r="B27" s="32" t="inlineStr">
        <is>
          <t>TOTAL</t>
        </is>
      </c>
      <c r="C27" s="33" t="n"/>
      <c r="D27" s="33" t="n"/>
      <c r="E27" s="34">
        <f>SUM(E7:E26)</f>
        <v/>
      </c>
      <c r="F27" s="34">
        <f>SUM(F7:F26)</f>
        <v/>
      </c>
      <c r="G27" s="34">
        <f>SUM(G7:G26)</f>
        <v/>
      </c>
      <c r="H27" s="33" t="n"/>
    </row>
    <row r="29">
      <c r="B29" s="26" t="inlineStr">
        <is>
          <t>Dados de exemplo sao ficticios. Preencha novas linhas dentro da tabela; os totais se atualizam automaticamente.</t>
        </is>
      </c>
    </row>
  </sheetData>
  <mergeCells count="4">
    <mergeCell ref="B4:H4"/>
    <mergeCell ref="B2:G3"/>
    <mergeCell ref="H1:H3"/>
    <mergeCell ref="B1:G1"/>
  </mergeCells>
  <conditionalFormatting sqref="H7:H26">
    <cfRule type="cellIs" priority="1" operator="equal" dxfId="0">
      <formula>"Pendente"</formula>
    </cfRule>
    <cfRule type="cellIs" priority="2" operator="equal" dxfId="1">
      <formula>"Solicitado"</formula>
    </cfRule>
    <cfRule type="cellIs" priority="3" operator="equal" dxfId="2">
      <formula>"Recebido"</formula>
    </cfRule>
    <cfRule type="cellIs" priority="4" operator="equal" dxfId="2">
      <formula>"Anexado"</formula>
    </cfRule>
  </conditionalFormatting>
  <dataValidations count="2">
    <dataValidation sqref="B7:B26" showDropDown="0" showInputMessage="1" showErrorMessage="1" allowBlank="1" errorTitle="Valor invalido" error="Selecione um item da lista suspensa." promptTitle="Selecione" prompt="Selecione" type="list">
      <formula1>=TIPO_DIVIDA</formula1>
    </dataValidation>
    <dataValidation sqref="H7:H26" showDropDown="0" showInputMessage="1" showErrorMessage="1" allowBlank="1" errorTitle="Valor invalido" error="Selecione um item da lista suspensa." promptTitle="Selecione" prompt="Selecione" type="list">
      <formula1>=STATUS_DOC</formula1>
    </dataValidation>
  </dataValidations>
  <hyperlinks>
    <hyperlink ref="H1" location="'INICIO'!A1" display="Inicio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A5FA6"/>
    <outlinePr summaryBelow="1" summaryRight="1"/>
    <pageSetUpPr/>
  </sheetPr>
  <dimension ref="B1:J3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28" customWidth="1" min="3" max="3"/>
    <col width="20" customWidth="1" min="4" max="4"/>
    <col width="14" customWidth="1" min="5" max="5"/>
    <col width="18" customWidth="1" min="6" max="6"/>
    <col width="14" customWidth="1" min="7" max="7"/>
    <col width="15" customWidth="1" min="8" max="8"/>
  </cols>
  <sheetData>
    <row r="1" ht="20" customHeight="1">
      <c r="B1" s="12" t="inlineStr">
        <is>
          <t>AGREGADOR DE IMPOSTO DE RENDA</t>
        </is>
      </c>
      <c r="C1" s="13" t="n"/>
      <c r="D1" s="13" t="n"/>
      <c r="E1" s="13" t="n"/>
      <c r="F1" s="13" t="n"/>
      <c r="G1" s="13" t="n"/>
      <c r="H1" s="14" t="inlineStr">
        <is>
          <t>Inicio</t>
        </is>
      </c>
    </row>
    <row r="2" ht="20" customHeight="1">
      <c r="B2" s="15" t="inlineStr">
        <is>
          <t xml:space="preserve">  5.  PAGAMENTOS / DESPESAS DEDUTIVEIS</t>
        </is>
      </c>
      <c r="C2" s="16" t="n"/>
      <c r="D2" s="16" t="n"/>
      <c r="E2" s="16" t="n"/>
      <c r="F2" s="16" t="n"/>
      <c r="G2" s="16" t="n"/>
    </row>
    <row r="3" ht="22" customHeight="1">
      <c r="B3" s="16" t="n"/>
      <c r="C3" s="16" t="n"/>
      <c r="D3" s="16" t="n"/>
      <c r="E3" s="16" t="n"/>
      <c r="F3" s="16" t="n"/>
      <c r="G3" s="16" t="n"/>
    </row>
    <row r="4" ht="18" customHeight="1">
      <c r="B4" s="17" t="inlineStr">
        <is>
          <t xml:space="preserve">   Registre despesas dedutiveis (medicas, educacao, previdencia, pensao) com comprovante.</t>
        </is>
      </c>
    </row>
    <row r="6" ht="30" customHeight="1">
      <c r="B6" s="27" t="inlineStr">
        <is>
          <t>Categoria</t>
        </is>
      </c>
      <c r="C6" s="27" t="inlineStr">
        <is>
          <t>Beneficiario / Prestador</t>
        </is>
      </c>
      <c r="D6" s="27" t="inlineStr">
        <is>
          <t>CNPJ/CPF</t>
        </is>
      </c>
      <c r="E6" s="27" t="inlineStr">
        <is>
          <t>Titular/Dep.</t>
        </is>
      </c>
      <c r="F6" s="27" t="inlineStr">
        <is>
          <t>Valor pago (R$)</t>
        </is>
      </c>
      <c r="G6" s="27" t="inlineStr">
        <is>
          <t>Dedutivel?</t>
        </is>
      </c>
      <c r="H6" s="27" t="inlineStr">
        <is>
          <t>Comprovante</t>
        </is>
      </c>
    </row>
    <row r="7">
      <c r="B7" s="28" t="inlineStr">
        <is>
          <t>Despesas medicas</t>
        </is>
      </c>
      <c r="C7" s="28" t="inlineStr">
        <is>
          <t>Clinica Exemplo</t>
        </is>
      </c>
      <c r="D7" s="28" t="inlineStr">
        <is>
          <t>01.234.567/0001-00</t>
        </is>
      </c>
      <c r="E7" s="28" t="inlineStr">
        <is>
          <t>Titular</t>
        </is>
      </c>
      <c r="F7" s="29" t="n">
        <v>3200</v>
      </c>
      <c r="G7" s="28" t="inlineStr">
        <is>
          <t>Sim</t>
        </is>
      </c>
      <c r="H7" s="28" t="inlineStr">
        <is>
          <t>Anexado</t>
        </is>
      </c>
    </row>
    <row r="8">
      <c r="B8" s="30" t="inlineStr">
        <is>
          <t>Educacao</t>
        </is>
      </c>
      <c r="C8" s="30" t="inlineStr">
        <is>
          <t>Escola Modelo</t>
        </is>
      </c>
      <c r="D8" s="30" t="inlineStr">
        <is>
          <t>09.876.543/0001-11</t>
        </is>
      </c>
      <c r="E8" s="30" t="inlineStr">
        <is>
          <t>Dependente</t>
        </is>
      </c>
      <c r="F8" s="31" t="n">
        <v>9600</v>
      </c>
      <c r="G8" s="30" t="inlineStr">
        <is>
          <t>Sim</t>
        </is>
      </c>
      <c r="H8" s="30" t="inlineStr">
        <is>
          <t>Recebido</t>
        </is>
      </c>
    </row>
    <row r="9">
      <c r="B9" s="28" t="inlineStr">
        <is>
          <t>Plano de saude</t>
        </is>
      </c>
      <c r="C9" s="28" t="inlineStr">
        <is>
          <t>Operadora Demonstracao</t>
        </is>
      </c>
      <c r="D9" s="28" t="inlineStr">
        <is>
          <t>11.222.333/0001-44</t>
        </is>
      </c>
      <c r="E9" s="28" t="inlineStr">
        <is>
          <t>Titular</t>
        </is>
      </c>
      <c r="F9" s="29" t="n">
        <v>7200</v>
      </c>
      <c r="G9" s="28" t="inlineStr">
        <is>
          <t>Sim</t>
        </is>
      </c>
      <c r="H9" s="28" t="inlineStr">
        <is>
          <t>Pendente</t>
        </is>
      </c>
    </row>
    <row r="10">
      <c r="B10" s="30" t="n"/>
      <c r="C10" s="30" t="n"/>
      <c r="D10" s="30" t="n"/>
      <c r="E10" s="30" t="n"/>
      <c r="F10" s="31" t="n"/>
      <c r="G10" s="30" t="n"/>
      <c r="H10" s="30" t="n"/>
    </row>
    <row r="11">
      <c r="B11" s="28" t="n"/>
      <c r="C11" s="28" t="n"/>
      <c r="D11" s="28" t="n"/>
      <c r="E11" s="28" t="n"/>
      <c r="F11" s="29" t="n"/>
      <c r="G11" s="28" t="n"/>
      <c r="H11" s="28" t="n"/>
    </row>
    <row r="12">
      <c r="B12" s="30" t="n"/>
      <c r="C12" s="30" t="n"/>
      <c r="D12" s="30" t="n"/>
      <c r="E12" s="30" t="n"/>
      <c r="F12" s="31" t="n"/>
      <c r="G12" s="30" t="n"/>
      <c r="H12" s="30" t="n"/>
    </row>
    <row r="13">
      <c r="B13" s="28" t="n"/>
      <c r="C13" s="28" t="n"/>
      <c r="D13" s="28" t="n"/>
      <c r="E13" s="28" t="n"/>
      <c r="F13" s="29" t="n"/>
      <c r="G13" s="28" t="n"/>
      <c r="H13" s="28" t="n"/>
    </row>
    <row r="14">
      <c r="B14" s="30" t="n"/>
      <c r="C14" s="30" t="n"/>
      <c r="D14" s="30" t="n"/>
      <c r="E14" s="30" t="n"/>
      <c r="F14" s="31" t="n"/>
      <c r="G14" s="30" t="n"/>
      <c r="H14" s="30" t="n"/>
    </row>
    <row r="15">
      <c r="B15" s="28" t="n"/>
      <c r="C15" s="28" t="n"/>
      <c r="D15" s="28" t="n"/>
      <c r="E15" s="28" t="n"/>
      <c r="F15" s="29" t="n"/>
      <c r="G15" s="28" t="n"/>
      <c r="H15" s="28" t="n"/>
    </row>
    <row r="16">
      <c r="B16" s="30" t="n"/>
      <c r="C16" s="30" t="n"/>
      <c r="D16" s="30" t="n"/>
      <c r="E16" s="30" t="n"/>
      <c r="F16" s="31" t="n"/>
      <c r="G16" s="30" t="n"/>
      <c r="H16" s="30" t="n"/>
    </row>
    <row r="17">
      <c r="B17" s="28" t="n"/>
      <c r="C17" s="28" t="n"/>
      <c r="D17" s="28" t="n"/>
      <c r="E17" s="28" t="n"/>
      <c r="F17" s="29" t="n"/>
      <c r="G17" s="28" t="n"/>
      <c r="H17" s="28" t="n"/>
    </row>
    <row r="18">
      <c r="B18" s="30" t="n"/>
      <c r="C18" s="30" t="n"/>
      <c r="D18" s="30" t="n"/>
      <c r="E18" s="30" t="n"/>
      <c r="F18" s="31" t="n"/>
      <c r="G18" s="30" t="n"/>
      <c r="H18" s="30" t="n"/>
    </row>
    <row r="19">
      <c r="B19" s="28" t="n"/>
      <c r="C19" s="28" t="n"/>
      <c r="D19" s="28" t="n"/>
      <c r="E19" s="28" t="n"/>
      <c r="F19" s="29" t="n"/>
      <c r="G19" s="28" t="n"/>
      <c r="H19" s="28" t="n"/>
    </row>
    <row r="20">
      <c r="B20" s="30" t="n"/>
      <c r="C20" s="30" t="n"/>
      <c r="D20" s="30" t="n"/>
      <c r="E20" s="30" t="n"/>
      <c r="F20" s="31" t="n"/>
      <c r="G20" s="30" t="n"/>
      <c r="H20" s="30" t="n"/>
    </row>
    <row r="21">
      <c r="B21" s="28" t="n"/>
      <c r="C21" s="28" t="n"/>
      <c r="D21" s="28" t="n"/>
      <c r="E21" s="28" t="n"/>
      <c r="F21" s="29" t="n"/>
      <c r="G21" s="28" t="n"/>
      <c r="H21" s="28" t="n"/>
    </row>
    <row r="22">
      <c r="B22" s="30" t="n"/>
      <c r="C22" s="30" t="n"/>
      <c r="D22" s="30" t="n"/>
      <c r="E22" s="30" t="n"/>
      <c r="F22" s="31" t="n"/>
      <c r="G22" s="30" t="n"/>
      <c r="H22" s="30" t="n"/>
    </row>
    <row r="23">
      <c r="B23" s="28" t="n"/>
      <c r="C23" s="28" t="n"/>
      <c r="D23" s="28" t="n"/>
      <c r="E23" s="28" t="n"/>
      <c r="F23" s="29" t="n"/>
      <c r="G23" s="28" t="n"/>
      <c r="H23" s="28" t="n"/>
    </row>
    <row r="24">
      <c r="B24" s="30" t="n"/>
      <c r="C24" s="30" t="n"/>
      <c r="D24" s="30" t="n"/>
      <c r="E24" s="30" t="n"/>
      <c r="F24" s="31" t="n"/>
      <c r="G24" s="30" t="n"/>
      <c r="H24" s="30" t="n"/>
    </row>
    <row r="25">
      <c r="B25" s="28" t="n"/>
      <c r="C25" s="28" t="n"/>
      <c r="D25" s="28" t="n"/>
      <c r="E25" s="28" t="n"/>
      <c r="F25" s="29" t="n"/>
      <c r="G25" s="28" t="n"/>
      <c r="H25" s="28" t="n"/>
    </row>
    <row r="26">
      <c r="B26" s="30" t="n"/>
      <c r="C26" s="30" t="n"/>
      <c r="D26" s="30" t="n"/>
      <c r="E26" s="30" t="n"/>
      <c r="F26" s="31" t="n"/>
      <c r="G26" s="30" t="n"/>
      <c r="H26" s="30" t="n"/>
    </row>
    <row r="27">
      <c r="B27" s="28" t="n"/>
      <c r="C27" s="28" t="n"/>
      <c r="D27" s="28" t="n"/>
      <c r="E27" s="28" t="n"/>
      <c r="F27" s="29" t="n"/>
      <c r="G27" s="28" t="n"/>
      <c r="H27" s="28" t="n"/>
    </row>
    <row r="28">
      <c r="B28" s="30" t="n"/>
      <c r="C28" s="30" t="n"/>
      <c r="D28" s="30" t="n"/>
      <c r="E28" s="30" t="n"/>
      <c r="F28" s="31" t="n"/>
      <c r="G28" s="30" t="n"/>
      <c r="H28" s="30" t="n"/>
    </row>
    <row r="29">
      <c r="B29" s="28" t="n"/>
      <c r="C29" s="28" t="n"/>
      <c r="D29" s="28" t="n"/>
      <c r="E29" s="28" t="n"/>
      <c r="F29" s="29" t="n"/>
      <c r="G29" s="28" t="n"/>
      <c r="H29" s="28" t="n"/>
    </row>
    <row r="30">
      <c r="B30" s="30" t="n"/>
      <c r="C30" s="30" t="n"/>
      <c r="D30" s="30" t="n"/>
      <c r="E30" s="30" t="n"/>
      <c r="F30" s="31" t="n"/>
      <c r="G30" s="30" t="n"/>
      <c r="H30" s="30" t="n"/>
    </row>
    <row r="31">
      <c r="B31" s="28" t="n"/>
      <c r="C31" s="28" t="n"/>
      <c r="D31" s="28" t="n"/>
      <c r="E31" s="28" t="n"/>
      <c r="F31" s="29" t="n"/>
      <c r="G31" s="28" t="n"/>
      <c r="H31" s="28" t="n"/>
    </row>
    <row r="32" ht="22" customHeight="1">
      <c r="B32" s="32" t="inlineStr">
        <is>
          <t>TOTAL</t>
        </is>
      </c>
      <c r="C32" s="33" t="n"/>
      <c r="D32" s="33" t="n"/>
      <c r="E32" s="33" t="n"/>
      <c r="F32" s="34">
        <f>SUM(F7:F31)</f>
        <v/>
      </c>
      <c r="G32" s="33" t="n"/>
      <c r="H32" s="33" t="n"/>
    </row>
    <row r="34">
      <c r="B34" s="26" t="inlineStr">
        <is>
          <t>Dados de exemplo sao ficticios. Preencha novas linhas dentro da tabela; os totais se atualizam automaticamente.</t>
        </is>
      </c>
    </row>
  </sheetData>
  <mergeCells count="4">
    <mergeCell ref="B4:H4"/>
    <mergeCell ref="B2:G3"/>
    <mergeCell ref="H1:H3"/>
    <mergeCell ref="B1:G1"/>
  </mergeCells>
  <conditionalFormatting sqref="H7:H31">
    <cfRule type="cellIs" priority="1" operator="equal" dxfId="0">
      <formula>"Pendente"</formula>
    </cfRule>
    <cfRule type="cellIs" priority="2" operator="equal" dxfId="1">
      <formula>"Solicitado"</formula>
    </cfRule>
    <cfRule type="cellIs" priority="3" operator="equal" dxfId="2">
      <formula>"Recebido"</formula>
    </cfRule>
    <cfRule type="cellIs" priority="4" operator="equal" dxfId="2">
      <formula>"Anexado"</formula>
    </cfRule>
  </conditionalFormatting>
  <dataValidations count="4">
    <dataValidation sqref="B7:B31" showDropDown="0" showInputMessage="1" showErrorMessage="1" allowBlank="1" errorTitle="Valor invalido" error="Selecione um item da lista suspensa." promptTitle="Selecione" prompt="Selecione" type="list">
      <formula1>=CAT_PAG</formula1>
    </dataValidation>
    <dataValidation sqref="E7:E31" showDropDown="0" showInputMessage="1" showErrorMessage="1" allowBlank="1" errorTitle="Valor invalido" error="Selecione um item da lista suspensa." promptTitle="Selecione" prompt="Selecione" type="list">
      <formula1>=TITDEP</formula1>
    </dataValidation>
    <dataValidation sqref="G7:G31" showDropDown="0" showInputMessage="1" showErrorMessage="1" allowBlank="1" errorTitle="Valor invalido" error="Selecione um item da lista suspensa." promptTitle="Selecione" prompt="Selecione" type="list">
      <formula1>=SIM_NAO</formula1>
    </dataValidation>
    <dataValidation sqref="H7:H31" showDropDown="0" showInputMessage="1" showErrorMessage="1" allowBlank="1" errorTitle="Valor invalido" error="Selecione um item da lista suspensa." promptTitle="Selecione" prompt="Selecione" type="list">
      <formula1>=STATUS_DOC</formula1>
    </dataValidation>
  </dataValidations>
  <hyperlinks>
    <hyperlink ref="H1" location="'INICIO'!A1" display="Inicio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C0553B"/>
    <outlinePr summaryBelow="1" summaryRight="1"/>
    <pageSetUpPr/>
  </sheetPr>
  <dimension ref="B1:H2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2" max="2"/>
    <col width="18" customWidth="1" min="3" max="3"/>
    <col width="18" customWidth="1" min="4" max="4"/>
    <col width="26" customWidth="1" min="5" max="5"/>
    <col width="30" customWidth="1" min="6" max="6"/>
  </cols>
  <sheetData>
    <row r="1" ht="20" customHeight="1">
      <c r="B1" s="12" t="inlineStr">
        <is>
          <t>AGREGADOR DE IMPOSTO DE RENDA</t>
        </is>
      </c>
      <c r="C1" s="13" t="n"/>
      <c r="D1" s="13" t="n"/>
      <c r="E1" s="13" t="n"/>
      <c r="F1" s="14" t="inlineStr">
        <is>
          <t>Inicio</t>
        </is>
      </c>
    </row>
    <row r="2" ht="20" customHeight="1">
      <c r="B2" s="15" t="inlineStr">
        <is>
          <t xml:space="preserve">  6.  DEPENDENTES</t>
        </is>
      </c>
      <c r="C2" s="16" t="n"/>
      <c r="D2" s="16" t="n"/>
      <c r="E2" s="16" t="n"/>
    </row>
    <row r="3" ht="22" customHeight="1">
      <c r="B3" s="16" t="n"/>
      <c r="C3" s="16" t="n"/>
      <c r="D3" s="16" t="n"/>
      <c r="E3" s="16" t="n"/>
    </row>
    <row r="4" ht="18" customHeight="1">
      <c r="B4" s="17" t="inlineStr">
        <is>
          <t xml:space="preserve">   Cadastre os dependentes declarados. CPF e obrigatorio para qualquer idade.</t>
        </is>
      </c>
    </row>
    <row r="6" ht="30" customHeight="1">
      <c r="B6" s="27" t="inlineStr">
        <is>
          <t>Nome do dependente</t>
        </is>
      </c>
      <c r="C6" s="27" t="inlineStr">
        <is>
          <t>CPF</t>
        </is>
      </c>
      <c r="D6" s="27" t="inlineStr">
        <is>
          <t>Data de nascimento</t>
        </is>
      </c>
      <c r="E6" s="27" t="inlineStr">
        <is>
          <t>Grau de parentesco</t>
        </is>
      </c>
      <c r="F6" s="27" t="inlineStr">
        <is>
          <t>Observacoes</t>
        </is>
      </c>
    </row>
    <row r="7">
      <c r="B7" s="28" t="inlineStr">
        <is>
          <t>Pedro Ficticio da Silva</t>
        </is>
      </c>
      <c r="C7" s="35" t="inlineStr">
        <is>
          <t>222.333.444-05</t>
        </is>
      </c>
      <c r="D7" s="36" t="inlineStr">
        <is>
          <t>15/03/2015</t>
        </is>
      </c>
      <c r="E7" s="28" t="inlineStr">
        <is>
          <t>Filho(a)</t>
        </is>
      </c>
      <c r="F7" s="28" t="inlineStr">
        <is>
          <t>Estudante</t>
        </is>
      </c>
    </row>
    <row r="8">
      <c r="B8" s="30" t="inlineStr">
        <is>
          <t>Ana Ficticia da Silva</t>
        </is>
      </c>
      <c r="C8" s="37" t="inlineStr">
        <is>
          <t>333.444.555-06</t>
        </is>
      </c>
      <c r="D8" s="38" t="inlineStr">
        <is>
          <t>20/07/2018</t>
        </is>
      </c>
      <c r="E8" s="30" t="inlineStr">
        <is>
          <t>Filho(a)</t>
        </is>
      </c>
      <c r="F8" s="30" t="inlineStr"/>
    </row>
    <row r="9">
      <c r="B9" s="28" t="n"/>
      <c r="C9" s="35" t="n"/>
      <c r="D9" s="36" t="n"/>
      <c r="E9" s="28" t="n"/>
      <c r="F9" s="28" t="n"/>
    </row>
    <row r="10">
      <c r="B10" s="30" t="n"/>
      <c r="C10" s="37" t="n"/>
      <c r="D10" s="38" t="n"/>
      <c r="E10" s="30" t="n"/>
      <c r="F10" s="30" t="n"/>
    </row>
    <row r="11">
      <c r="B11" s="28" t="n"/>
      <c r="C11" s="35" t="n"/>
      <c r="D11" s="36" t="n"/>
      <c r="E11" s="28" t="n"/>
      <c r="F11" s="28" t="n"/>
    </row>
    <row r="12">
      <c r="B12" s="30" t="n"/>
      <c r="C12" s="37" t="n"/>
      <c r="D12" s="38" t="n"/>
      <c r="E12" s="30" t="n"/>
      <c r="F12" s="30" t="n"/>
    </row>
    <row r="13">
      <c r="B13" s="28" t="n"/>
      <c r="C13" s="35" t="n"/>
      <c r="D13" s="36" t="n"/>
      <c r="E13" s="28" t="n"/>
      <c r="F13" s="28" t="n"/>
    </row>
    <row r="14">
      <c r="B14" s="30" t="n"/>
      <c r="C14" s="37" t="n"/>
      <c r="D14" s="38" t="n"/>
      <c r="E14" s="30" t="n"/>
      <c r="F14" s="30" t="n"/>
    </row>
    <row r="15">
      <c r="B15" s="28" t="n"/>
      <c r="C15" s="35" t="n"/>
      <c r="D15" s="36" t="n"/>
      <c r="E15" s="28" t="n"/>
      <c r="F15" s="28" t="n"/>
    </row>
    <row r="16">
      <c r="B16" s="30" t="n"/>
      <c r="C16" s="37" t="n"/>
      <c r="D16" s="38" t="n"/>
      <c r="E16" s="30" t="n"/>
      <c r="F16" s="30" t="n"/>
    </row>
    <row r="17">
      <c r="B17" s="28" t="n"/>
      <c r="C17" s="35" t="n"/>
      <c r="D17" s="36" t="n"/>
      <c r="E17" s="28" t="n"/>
      <c r="F17" s="28" t="n"/>
    </row>
    <row r="18">
      <c r="B18" s="30" t="n"/>
      <c r="C18" s="37" t="n"/>
      <c r="D18" s="38" t="n"/>
      <c r="E18" s="30" t="n"/>
      <c r="F18" s="30" t="n"/>
    </row>
    <row r="19">
      <c r="B19" s="28" t="n"/>
      <c r="C19" s="35" t="n"/>
      <c r="D19" s="36" t="n"/>
      <c r="E19" s="28" t="n"/>
      <c r="F19" s="28" t="n"/>
    </row>
    <row r="20">
      <c r="B20" s="30" t="n"/>
      <c r="C20" s="37" t="n"/>
      <c r="D20" s="38" t="n"/>
      <c r="E20" s="30" t="n"/>
      <c r="F20" s="30" t="n"/>
    </row>
    <row r="21">
      <c r="B21" s="28" t="n"/>
      <c r="C21" s="35" t="n"/>
      <c r="D21" s="36" t="n"/>
      <c r="E21" s="28" t="n"/>
      <c r="F21" s="28" t="n"/>
    </row>
    <row r="24">
      <c r="B24" s="26" t="inlineStr">
        <is>
          <t>Dados de exemplo sao ficticios. Preencha novas linhas dentro da tabela; os totais se atualizam automaticamente.</t>
        </is>
      </c>
    </row>
  </sheetData>
  <mergeCells count="4">
    <mergeCell ref="B4:F4"/>
    <mergeCell ref="B2:E3"/>
    <mergeCell ref="B1:E1"/>
    <mergeCell ref="F1:F3"/>
  </mergeCells>
  <dataValidations count="1">
    <dataValidation sqref="E7:E21" showDropDown="0" showInputMessage="1" showErrorMessage="1" allowBlank="1" errorTitle="Valor invalido" error="Selecione um item da lista suspensa." promptTitle="Selecione" prompt="Selecione" type="list">
      <formula1>=PARENTESCO</formula1>
    </dataValidation>
  </dataValidations>
  <hyperlinks>
    <hyperlink ref="F1" location="'INICIO'!A1" display="Inicio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66B85"/>
    <outlinePr summaryBelow="1" summaryRight="1"/>
    <pageSetUpPr/>
  </sheetPr>
  <dimension ref="B1:I3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24" customWidth="1" min="3" max="3"/>
    <col width="10" customWidth="1" min="4" max="4"/>
    <col width="15" customWidth="1" min="5" max="5"/>
    <col width="28" customWidth="1" min="6" max="6"/>
    <col width="26" customWidth="1" min="7" max="7"/>
  </cols>
  <sheetData>
    <row r="1" ht="20" customHeight="1">
      <c r="B1" s="12" t="inlineStr">
        <is>
          <t>AGREGADOR DE IMPOSTO DE RENDA</t>
        </is>
      </c>
      <c r="C1" s="13" t="n"/>
      <c r="D1" s="13" t="n"/>
      <c r="E1" s="13" t="n"/>
      <c r="F1" s="13" t="n"/>
      <c r="G1" s="14" t="inlineStr">
        <is>
          <t>Inicio</t>
        </is>
      </c>
    </row>
    <row r="2" ht="20" customHeight="1">
      <c r="B2" s="15" t="inlineStr">
        <is>
          <t xml:space="preserve">  7.  DOCUMENTOS / COMPROVANTES</t>
        </is>
      </c>
      <c r="C2" s="16" t="n"/>
      <c r="D2" s="16" t="n"/>
      <c r="E2" s="16" t="n"/>
      <c r="F2" s="16" t="n"/>
    </row>
    <row r="3" ht="22" customHeight="1">
      <c r="B3" s="16" t="n"/>
      <c r="C3" s="16" t="n"/>
      <c r="D3" s="16" t="n"/>
      <c r="E3" s="16" t="n"/>
      <c r="F3" s="16" t="n"/>
    </row>
    <row r="4" ht="18" customHeight="1">
      <c r="B4" s="17" t="inlineStr">
        <is>
          <t xml:space="preserve">   Controle central dos comprovantes. Use a coluna Link para apontar o arquivo (nuvem/pasta).</t>
        </is>
      </c>
    </row>
    <row r="6" ht="30" customHeight="1">
      <c r="B6" s="27" t="inlineStr">
        <is>
          <t>Documento</t>
        </is>
      </c>
      <c r="C6" s="27" t="inlineStr">
        <is>
          <t>Categoria</t>
        </is>
      </c>
      <c r="D6" s="27" t="inlineStr">
        <is>
          <t>Ano</t>
        </is>
      </c>
      <c r="E6" s="27" t="inlineStr">
        <is>
          <t>Status</t>
        </is>
      </c>
      <c r="F6" s="27" t="inlineStr">
        <is>
          <t>Observacao</t>
        </is>
      </c>
      <c r="G6" s="27" t="inlineStr">
        <is>
          <t>Link do arquivo</t>
        </is>
      </c>
    </row>
    <row r="7">
      <c r="B7" s="28" t="inlineStr">
        <is>
          <t>Informe de rendimentos - Empresa Exemplo</t>
        </is>
      </c>
      <c r="C7" s="28" t="inlineStr">
        <is>
          <t>Rendimentos</t>
        </is>
      </c>
      <c r="D7" s="39" t="n">
        <v>2024</v>
      </c>
      <c r="E7" s="28" t="inlineStr">
        <is>
          <t>Anexado</t>
        </is>
      </c>
      <c r="F7" s="28" t="inlineStr">
        <is>
          <t>Fonte principal</t>
        </is>
      </c>
      <c r="G7" s="40" t="inlineStr">
        <is>
          <t>https://exemplo.com/informe.pdf</t>
        </is>
      </c>
    </row>
    <row r="8">
      <c r="B8" s="30" t="inlineStr">
        <is>
          <t>Informe INSS</t>
        </is>
      </c>
      <c r="C8" s="30" t="inlineStr">
        <is>
          <t>Rendimentos</t>
        </is>
      </c>
      <c r="D8" s="41" t="n">
        <v>2024</v>
      </c>
      <c r="E8" s="30" t="inlineStr">
        <is>
          <t>Recebido</t>
        </is>
      </c>
      <c r="F8" s="30" t="inlineStr">
        <is>
          <t>Aposentadoria</t>
        </is>
      </c>
      <c r="G8" s="42" t="inlineStr">
        <is>
          <t>https://exemplo.com/inss.pdf</t>
        </is>
      </c>
    </row>
    <row r="9">
      <c r="B9" s="28" t="inlineStr">
        <is>
          <t>Recibos medicos</t>
        </is>
      </c>
      <c r="C9" s="28" t="inlineStr">
        <is>
          <t>Pagamentos / Despesas</t>
        </is>
      </c>
      <c r="D9" s="39" t="n">
        <v>2024</v>
      </c>
      <c r="E9" s="28" t="inlineStr">
        <is>
          <t>Pendente</t>
        </is>
      </c>
      <c r="F9" s="28" t="inlineStr">
        <is>
          <t>Reunir recibos do ano</t>
        </is>
      </c>
      <c r="G9" s="28" t="inlineStr"/>
    </row>
    <row r="10">
      <c r="B10" s="30" t="inlineStr">
        <is>
          <t>Comprovante IPTU / imovel</t>
        </is>
      </c>
      <c r="C10" s="30" t="inlineStr">
        <is>
          <t>Bens e Direitos</t>
        </is>
      </c>
      <c r="D10" s="41" t="n">
        <v>2024</v>
      </c>
      <c r="E10" s="30" t="inlineStr">
        <is>
          <t>Solicitado</t>
        </is>
      </c>
      <c r="F10" s="30" t="inlineStr">
        <is>
          <t>Prefeitura</t>
        </is>
      </c>
      <c r="G10" s="30" t="inlineStr"/>
    </row>
    <row r="11">
      <c r="B11" s="28" t="n"/>
      <c r="C11" s="28" t="n"/>
      <c r="D11" s="39" t="n"/>
      <c r="E11" s="28" t="n"/>
      <c r="F11" s="28" t="n"/>
      <c r="G11" s="28" t="n"/>
    </row>
    <row r="12">
      <c r="B12" s="30" t="n"/>
      <c r="C12" s="30" t="n"/>
      <c r="D12" s="41" t="n"/>
      <c r="E12" s="30" t="n"/>
      <c r="F12" s="30" t="n"/>
      <c r="G12" s="30" t="n"/>
    </row>
    <row r="13">
      <c r="B13" s="28" t="n"/>
      <c r="C13" s="28" t="n"/>
      <c r="D13" s="39" t="n"/>
      <c r="E13" s="28" t="n"/>
      <c r="F13" s="28" t="n"/>
      <c r="G13" s="28" t="n"/>
    </row>
    <row r="14">
      <c r="B14" s="30" t="n"/>
      <c r="C14" s="30" t="n"/>
      <c r="D14" s="41" t="n"/>
      <c r="E14" s="30" t="n"/>
      <c r="F14" s="30" t="n"/>
      <c r="G14" s="30" t="n"/>
    </row>
    <row r="15">
      <c r="B15" s="28" t="n"/>
      <c r="C15" s="28" t="n"/>
      <c r="D15" s="39" t="n"/>
      <c r="E15" s="28" t="n"/>
      <c r="F15" s="28" t="n"/>
      <c r="G15" s="28" t="n"/>
    </row>
    <row r="16">
      <c r="B16" s="30" t="n"/>
      <c r="C16" s="30" t="n"/>
      <c r="D16" s="41" t="n"/>
      <c r="E16" s="30" t="n"/>
      <c r="F16" s="30" t="n"/>
      <c r="G16" s="30" t="n"/>
    </row>
    <row r="17">
      <c r="B17" s="28" t="n"/>
      <c r="C17" s="28" t="n"/>
      <c r="D17" s="39" t="n"/>
      <c r="E17" s="28" t="n"/>
      <c r="F17" s="28" t="n"/>
      <c r="G17" s="28" t="n"/>
    </row>
    <row r="18">
      <c r="B18" s="30" t="n"/>
      <c r="C18" s="30" t="n"/>
      <c r="D18" s="41" t="n"/>
      <c r="E18" s="30" t="n"/>
      <c r="F18" s="30" t="n"/>
      <c r="G18" s="30" t="n"/>
    </row>
    <row r="19">
      <c r="B19" s="28" t="n"/>
      <c r="C19" s="28" t="n"/>
      <c r="D19" s="39" t="n"/>
      <c r="E19" s="28" t="n"/>
      <c r="F19" s="28" t="n"/>
      <c r="G19" s="28" t="n"/>
    </row>
    <row r="20">
      <c r="B20" s="30" t="n"/>
      <c r="C20" s="30" t="n"/>
      <c r="D20" s="41" t="n"/>
      <c r="E20" s="30" t="n"/>
      <c r="F20" s="30" t="n"/>
      <c r="G20" s="30" t="n"/>
    </row>
    <row r="21">
      <c r="B21" s="28" t="n"/>
      <c r="C21" s="28" t="n"/>
      <c r="D21" s="39" t="n"/>
      <c r="E21" s="28" t="n"/>
      <c r="F21" s="28" t="n"/>
      <c r="G21" s="28" t="n"/>
    </row>
    <row r="22">
      <c r="B22" s="30" t="n"/>
      <c r="C22" s="30" t="n"/>
      <c r="D22" s="41" t="n"/>
      <c r="E22" s="30" t="n"/>
      <c r="F22" s="30" t="n"/>
      <c r="G22" s="30" t="n"/>
    </row>
    <row r="23">
      <c r="B23" s="28" t="n"/>
      <c r="C23" s="28" t="n"/>
      <c r="D23" s="39" t="n"/>
      <c r="E23" s="28" t="n"/>
      <c r="F23" s="28" t="n"/>
      <c r="G23" s="28" t="n"/>
    </row>
    <row r="24">
      <c r="B24" s="30" t="n"/>
      <c r="C24" s="30" t="n"/>
      <c r="D24" s="41" t="n"/>
      <c r="E24" s="30" t="n"/>
      <c r="F24" s="30" t="n"/>
      <c r="G24" s="30" t="n"/>
    </row>
    <row r="25">
      <c r="B25" s="28" t="n"/>
      <c r="C25" s="28" t="n"/>
      <c r="D25" s="39" t="n"/>
      <c r="E25" s="28" t="n"/>
      <c r="F25" s="28" t="n"/>
      <c r="G25" s="28" t="n"/>
    </row>
    <row r="26">
      <c r="B26" s="30" t="n"/>
      <c r="C26" s="30" t="n"/>
      <c r="D26" s="41" t="n"/>
      <c r="E26" s="30" t="n"/>
      <c r="F26" s="30" t="n"/>
      <c r="G26" s="30" t="n"/>
    </row>
    <row r="27">
      <c r="B27" s="28" t="n"/>
      <c r="C27" s="28" t="n"/>
      <c r="D27" s="39" t="n"/>
      <c r="E27" s="28" t="n"/>
      <c r="F27" s="28" t="n"/>
      <c r="G27" s="28" t="n"/>
    </row>
    <row r="28">
      <c r="B28" s="30" t="n"/>
      <c r="C28" s="30" t="n"/>
      <c r="D28" s="41" t="n"/>
      <c r="E28" s="30" t="n"/>
      <c r="F28" s="30" t="n"/>
      <c r="G28" s="30" t="n"/>
    </row>
    <row r="29">
      <c r="B29" s="28" t="n"/>
      <c r="C29" s="28" t="n"/>
      <c r="D29" s="39" t="n"/>
      <c r="E29" s="28" t="n"/>
      <c r="F29" s="28" t="n"/>
      <c r="G29" s="28" t="n"/>
    </row>
    <row r="30">
      <c r="B30" s="30" t="n"/>
      <c r="C30" s="30" t="n"/>
      <c r="D30" s="41" t="n"/>
      <c r="E30" s="30" t="n"/>
      <c r="F30" s="30" t="n"/>
      <c r="G30" s="30" t="n"/>
    </row>
    <row r="31">
      <c r="B31" s="28" t="n"/>
      <c r="C31" s="28" t="n"/>
      <c r="D31" s="39" t="n"/>
      <c r="E31" s="28" t="n"/>
      <c r="F31" s="28" t="n"/>
      <c r="G31" s="28" t="n"/>
    </row>
    <row r="34">
      <c r="B34" s="26" t="inlineStr">
        <is>
          <t>Dados de exemplo sao ficticios. Preencha novas linhas dentro da tabela; os totais se atualizam automaticamente.</t>
        </is>
      </c>
    </row>
  </sheetData>
  <mergeCells count="4">
    <mergeCell ref="B4:G4"/>
    <mergeCell ref="B2:F3"/>
    <mergeCell ref="B1:F1"/>
    <mergeCell ref="G1:G3"/>
  </mergeCells>
  <conditionalFormatting sqref="E7:E31">
    <cfRule type="cellIs" priority="1" operator="equal" dxfId="0">
      <formula>"Pendente"</formula>
    </cfRule>
    <cfRule type="cellIs" priority="2" operator="equal" dxfId="1">
      <formula>"Solicitado"</formula>
    </cfRule>
    <cfRule type="cellIs" priority="3" operator="equal" dxfId="2">
      <formula>"Recebido"</formula>
    </cfRule>
    <cfRule type="cellIs" priority="4" operator="equal" dxfId="2">
      <formula>"Anexado"</formula>
    </cfRule>
  </conditionalFormatting>
  <dataValidations count="2">
    <dataValidation sqref="C7:C31" showDropDown="0" showInputMessage="1" showErrorMessage="1" allowBlank="1" errorTitle="Valor invalido" error="Selecione um item da lista suspensa." promptTitle="Selecione" prompt="Selecione" type="list">
      <formula1>=CAT_DOC</formula1>
    </dataValidation>
    <dataValidation sqref="E7:E31" showDropDown="0" showInputMessage="1" showErrorMessage="1" allowBlank="1" errorTitle="Valor invalido" error="Selecione um item da lista suspensa." promptTitle="Selecione" prompt="Selecione" type="list">
      <formula1>=STATUS_DOC</formula1>
    </dataValidation>
  </dataValidations>
  <hyperlinks>
    <hyperlink ref="G1" location="'INICIO'!A1" display="Inicio"/>
    <hyperlink xmlns:r="http://schemas.openxmlformats.org/officeDocument/2006/relationships" ref="G7" r:id="rId1"/>
    <hyperlink xmlns:r="http://schemas.openxmlformats.org/officeDocument/2006/relationships" ref="G8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tabColor rgb="0014304A"/>
    <outlinePr summaryBelow="1" summaryRight="1"/>
    <pageSetUpPr/>
  </sheetPr>
  <dimension ref="B1:I29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0" customHeight="1">
      <c r="B1" s="12" t="inlineStr">
        <is>
          <t>AGREGADOR DE IMPOSTO DE RENDA</t>
        </is>
      </c>
      <c r="C1" s="13" t="n"/>
      <c r="D1" s="13" t="n"/>
      <c r="E1" s="13" t="n"/>
      <c r="F1" s="13" t="n"/>
      <c r="G1" s="13" t="n"/>
      <c r="H1" s="13" t="n"/>
      <c r="I1" s="14" t="inlineStr">
        <is>
          <t>Inicio</t>
        </is>
      </c>
    </row>
    <row r="2" ht="20" customHeight="1">
      <c r="B2" s="15" t="inlineStr">
        <is>
          <t xml:space="preserve">  8.  RESUMO (DASHBOARD)</t>
        </is>
      </c>
      <c r="C2" s="16" t="n"/>
      <c r="D2" s="16" t="n"/>
      <c r="E2" s="16" t="n"/>
      <c r="F2" s="16" t="n"/>
      <c r="G2" s="16" t="n"/>
      <c r="H2" s="16" t="n"/>
    </row>
    <row r="3" ht="22" customHeight="1">
      <c r="B3" s="16" t="n"/>
      <c r="C3" s="16" t="n"/>
      <c r="D3" s="16" t="n"/>
      <c r="E3" s="16" t="n"/>
      <c r="F3" s="16" t="n"/>
      <c r="G3" s="16" t="n"/>
      <c r="H3" s="16" t="n"/>
    </row>
    <row r="4" ht="18" customHeight="1">
      <c r="B4" s="17" t="inlineStr">
        <is>
          <t xml:space="preserve">   Visao consolidada das informacoes cadastradas. Os valores se atualizam automaticamente.</t>
        </is>
      </c>
    </row>
    <row r="6" ht="24" customHeight="1">
      <c r="B6" s="43" t="inlineStr">
        <is>
          <t>TOTAL DE RENDIMENTOS</t>
        </is>
      </c>
      <c r="C6" s="44" t="n"/>
      <c r="D6" s="43" t="inlineStr">
        <is>
          <t>IMPOSTO RETIDO NA FONTE</t>
        </is>
      </c>
      <c r="E6" s="44" t="n"/>
      <c r="F6" s="45" t="inlineStr">
        <is>
          <t>TOTAL DE BENS (31/12)</t>
        </is>
      </c>
      <c r="G6" s="44" t="n"/>
      <c r="H6" s="46" t="inlineStr">
        <is>
          <t>TOTAL DE DIVIDAS (31/12)</t>
        </is>
      </c>
      <c r="I6" s="44" t="n"/>
    </row>
    <row r="7" ht="16" customHeight="1">
      <c r="B7" s="47">
        <f>SUM(RENDIMENTOS!F7:F31)+SUM(RENDIMENTOS!G7:G31)</f>
        <v/>
      </c>
      <c r="C7" s="44" t="n"/>
      <c r="D7" s="47">
        <f>SUM(RENDIMENTOS!H7:H31)</f>
        <v/>
      </c>
      <c r="E7" s="44" t="n"/>
      <c r="F7" s="47">
        <f>SUM('BENS E DIREITOS'!F7:F31)</f>
        <v/>
      </c>
      <c r="G7" s="44" t="n"/>
      <c r="H7" s="47">
        <f>SUM('DIVIDAS E ONUS'!F7:F26)</f>
        <v/>
      </c>
      <c r="I7" s="44" t="n"/>
    </row>
    <row r="8" ht="16" customHeight="1">
      <c r="B8" s="44" t="n"/>
      <c r="C8" s="44" t="n"/>
      <c r="D8" s="44" t="n"/>
      <c r="E8" s="44" t="n"/>
      <c r="F8" s="44" t="n"/>
      <c r="G8" s="44" t="n"/>
      <c r="H8" s="44" t="n"/>
      <c r="I8" s="44" t="n"/>
    </row>
    <row r="10" ht="24" customHeight="1">
      <c r="B10" s="48" t="inlineStr">
        <is>
          <t>PATRIMONIO LIQUIDO</t>
        </is>
      </c>
      <c r="C10" s="44" t="n"/>
      <c r="D10" s="48" t="inlineStr">
        <is>
          <t>DESPESAS DEDUTIVEIS</t>
        </is>
      </c>
      <c r="E10" s="44" t="n"/>
      <c r="F10" s="48" t="inlineStr">
        <is>
          <t>DEPENDENTES</t>
        </is>
      </c>
      <c r="G10" s="44" t="n"/>
      <c r="H10" s="49" t="inlineStr">
        <is>
          <t>DOCUMENTOS PENDENTES</t>
        </is>
      </c>
      <c r="I10" s="44" t="n"/>
    </row>
    <row r="11" ht="16" customHeight="1">
      <c r="B11" s="50">
        <f>SUM('BENS E DIREITOS'!F7:F31)-SUM('DIVIDAS E ONUS'!F7:F26)</f>
        <v/>
      </c>
      <c r="C11" s="44" t="n"/>
      <c r="D11" s="47">
        <f>SUM(PAGAMENTOS!F7:F31)</f>
        <v/>
      </c>
      <c r="E11" s="44" t="n"/>
      <c r="F11" s="51">
        <f>COUNTA(DEPENDENTES!B7:B21)</f>
        <v/>
      </c>
      <c r="G11" s="44" t="n"/>
      <c r="H11" s="52">
        <f>COUNTIF(DOCUMENTOS!E7:E31,"Pendente")+COUNTIF(DOCUMENTOS!E7:E31,"Solicitado")</f>
        <v/>
      </c>
      <c r="I11" s="44" t="n"/>
    </row>
    <row r="12" ht="16" customHeight="1">
      <c r="B12" s="44" t="n"/>
      <c r="C12" s="44" t="n"/>
      <c r="D12" s="44" t="n"/>
      <c r="E12" s="44" t="n"/>
      <c r="F12" s="44" t="n"/>
      <c r="G12" s="44" t="n"/>
      <c r="H12" s="44" t="n"/>
      <c r="I12" s="44" t="n"/>
    </row>
    <row r="15">
      <c r="B15" s="53" t="inlineStr">
        <is>
          <t>RENDIMENTOS POR CATEGORIA</t>
        </is>
      </c>
      <c r="G15" s="53" t="inlineStr">
        <is>
          <t>BENS POR GRUPO</t>
        </is>
      </c>
    </row>
    <row r="16">
      <c r="B16" s="54" t="inlineStr">
        <is>
          <t>Categoria</t>
        </is>
      </c>
      <c r="C16" s="55" t="n"/>
      <c r="D16" s="56" t="n"/>
      <c r="E16" s="57" t="inlineStr">
        <is>
          <t>Valor (R$)</t>
        </is>
      </c>
      <c r="G16" s="54" t="inlineStr">
        <is>
          <t>Grupo</t>
        </is>
      </c>
      <c r="H16" s="58" t="n"/>
      <c r="I16" s="57" t="inlineStr">
        <is>
          <t>Valor (R$)</t>
        </is>
      </c>
    </row>
    <row r="17">
      <c r="B17" s="59" t="inlineStr">
        <is>
          <t>Salario / CLT</t>
        </is>
      </c>
      <c r="C17" s="44" t="n"/>
      <c r="D17" s="44" t="n"/>
      <c r="E17" s="60">
        <f>SUMIF(RENDIMENTOS!B7:B31,B17,RENDIMENTOS!F7:F31)+SUMIF(RENDIMENTOS!B7:B31,B17,RENDIMENTOS!G7:G31)</f>
        <v/>
      </c>
      <c r="G17" s="59" t="inlineStr">
        <is>
          <t>Imovel</t>
        </is>
      </c>
      <c r="H17" s="44" t="n"/>
      <c r="I17" s="60">
        <f>SUMIF('BENS E DIREITOS'!B7:B31,G17,'BENS E DIREITOS'!F7:F31)</f>
        <v/>
      </c>
    </row>
    <row r="18">
      <c r="B18" s="61" t="inlineStr">
        <is>
          <t>13o salario</t>
        </is>
      </c>
      <c r="C18" s="62" t="n"/>
      <c r="D18" s="62" t="n"/>
      <c r="E18" s="63">
        <f>SUMIF(RENDIMENTOS!B7:B31,B18,RENDIMENTOS!F7:F31)+SUMIF(RENDIMENTOS!B7:B31,B18,RENDIMENTOS!G7:G31)</f>
        <v/>
      </c>
      <c r="G18" s="61" t="inlineStr">
        <is>
          <t>Veiculo</t>
        </is>
      </c>
      <c r="H18" s="62" t="n"/>
      <c r="I18" s="63">
        <f>SUMIF('BENS E DIREITOS'!B7:B31,G18,'BENS E DIREITOS'!F7:F31)</f>
        <v/>
      </c>
    </row>
    <row r="19">
      <c r="B19" s="59" t="inlineStr">
        <is>
          <t>Aposentadoria / Pensao (INSS)</t>
        </is>
      </c>
      <c r="C19" s="44" t="n"/>
      <c r="D19" s="44" t="n"/>
      <c r="E19" s="60">
        <f>SUMIF(RENDIMENTOS!B7:B31,B19,RENDIMENTOS!F7:F31)+SUMIF(RENDIMENTOS!B7:B31,B19,RENDIMENTOS!G7:G31)</f>
        <v/>
      </c>
      <c r="G19" s="59" t="inlineStr">
        <is>
          <t>Conta corrente / poupanca</t>
        </is>
      </c>
      <c r="H19" s="44" t="n"/>
      <c r="I19" s="60">
        <f>SUMIF('BENS E DIREITOS'!B7:B31,G19,'BENS E DIREITOS'!F7:F31)</f>
        <v/>
      </c>
    </row>
    <row r="20">
      <c r="B20" s="61" t="inlineStr">
        <is>
          <t>Pensao alimenticia recebida</t>
        </is>
      </c>
      <c r="C20" s="62" t="n"/>
      <c r="D20" s="62" t="n"/>
      <c r="E20" s="63">
        <f>SUMIF(RENDIMENTOS!B7:B31,B20,RENDIMENTOS!F7:F31)+SUMIF(RENDIMENTOS!B7:B31,B20,RENDIMENTOS!G7:G31)</f>
        <v/>
      </c>
      <c r="G20" s="61" t="inlineStr">
        <is>
          <t>Aplicacao financeira</t>
        </is>
      </c>
      <c r="H20" s="62" t="n"/>
      <c r="I20" s="63">
        <f>SUMIF('BENS E DIREITOS'!B7:B31,G20,'BENS E DIREITOS'!F7:F31)</f>
        <v/>
      </c>
    </row>
    <row r="21">
      <c r="B21" s="59" t="inlineStr">
        <is>
          <t>Trabalho autonomo / PJ</t>
        </is>
      </c>
      <c r="C21" s="44" t="n"/>
      <c r="D21" s="44" t="n"/>
      <c r="E21" s="60">
        <f>SUMIF(RENDIMENTOS!B7:B31,B21,RENDIMENTOS!F7:F31)+SUMIF(RENDIMENTOS!B7:B31,B21,RENDIMENTOS!G7:G31)</f>
        <v/>
      </c>
      <c r="G21" s="59" t="inlineStr">
        <is>
          <t>Participacao societaria</t>
        </is>
      </c>
      <c r="H21" s="44" t="n"/>
      <c r="I21" s="60">
        <f>SUMIF('BENS E DIREITOS'!B7:B31,G21,'BENS E DIREITOS'!F7:F31)</f>
        <v/>
      </c>
    </row>
    <row r="22">
      <c r="B22" s="61" t="inlineStr">
        <is>
          <t>Alugueis</t>
        </is>
      </c>
      <c r="C22" s="62" t="n"/>
      <c r="D22" s="62" t="n"/>
      <c r="E22" s="63">
        <f>SUMIF(RENDIMENTOS!B7:B31,B22,RENDIMENTOS!F7:F31)+SUMIF(RENDIMENTOS!B7:B31,B22,RENDIMENTOS!G7:G31)</f>
        <v/>
      </c>
      <c r="G22" s="61" t="inlineStr">
        <is>
          <t>Criptoativo</t>
        </is>
      </c>
      <c r="H22" s="62" t="n"/>
      <c r="I22" s="63">
        <f>SUMIF('BENS E DIREITOS'!B7:B31,G22,'BENS E DIREITOS'!F7:F31)</f>
        <v/>
      </c>
    </row>
    <row r="23">
      <c r="B23" s="59" t="inlineStr">
        <is>
          <t>Rendimentos de aplicacoes financeiras</t>
        </is>
      </c>
      <c r="C23" s="44" t="n"/>
      <c r="D23" s="44" t="n"/>
      <c r="E23" s="60">
        <f>SUMIF(RENDIMENTOS!B7:B31,B23,RENDIMENTOS!F7:F31)+SUMIF(RENDIMENTOS!B7:B31,B23,RENDIMENTOS!G7:G31)</f>
        <v/>
      </c>
      <c r="G23" s="59" t="inlineStr">
        <is>
          <t>Bens moveis / Outros</t>
        </is>
      </c>
      <c r="H23" s="44" t="n"/>
      <c r="I23" s="60">
        <f>SUMIF('BENS E DIREITOS'!B7:B31,G23,'BENS E DIREITOS'!F7:F31)</f>
        <v/>
      </c>
    </row>
    <row r="24">
      <c r="B24" s="61" t="inlineStr">
        <is>
          <t>Dividendos / Lucros</t>
        </is>
      </c>
      <c r="C24" s="62" t="n"/>
      <c r="D24" s="62" t="n"/>
      <c r="E24" s="63">
        <f>SUMIF(RENDIMENTOS!B7:B31,B24,RENDIMENTOS!F7:F31)+SUMIF(RENDIMENTOS!B7:B31,B24,RENDIMENTOS!G7:G31)</f>
        <v/>
      </c>
    </row>
    <row r="25">
      <c r="B25" s="59" t="inlineStr">
        <is>
          <t>Rendimentos recebidos do exterior</t>
        </is>
      </c>
      <c r="C25" s="44" t="n"/>
      <c r="D25" s="44" t="n"/>
      <c r="E25" s="60">
        <f>SUMIF(RENDIMENTOS!B7:B31,B25,RENDIMENTOS!F7:F31)+SUMIF(RENDIMENTOS!B7:B31,B25,RENDIMENTOS!G7:G31)</f>
        <v/>
      </c>
      <c r="G25" s="53" t="inlineStr">
        <is>
          <t>CONTROLE DE DOCUMENTOS</t>
        </is>
      </c>
    </row>
    <row r="26">
      <c r="B26" s="61" t="inlineStr">
        <is>
          <t>Outros rendimentos</t>
        </is>
      </c>
      <c r="C26" s="62" t="n"/>
      <c r="D26" s="62" t="n"/>
      <c r="E26" s="63">
        <f>SUMIF(RENDIMENTOS!B7:B31,B26,RENDIMENTOS!F7:F31)+SUMIF(RENDIMENTOS!B7:B31,B26,RENDIMENTOS!G7:G31)</f>
        <v/>
      </c>
      <c r="G26" s="59" t="inlineStr">
        <is>
          <t>Cadastrados</t>
        </is>
      </c>
      <c r="H26" s="44" t="n"/>
      <c r="I26" s="64">
        <f>COUNTA(DOCUMENTOS!B7:B31)</f>
        <v/>
      </c>
    </row>
    <row r="27">
      <c r="B27" s="26" t="inlineStr">
        <is>
          <t>Dashboard: totais calculados por SOMA, SOMASE (SUMIF) e CONT.SE/CONT.VALORES sobre as demais abas.</t>
        </is>
      </c>
      <c r="G27" s="59" t="inlineStr">
        <is>
          <t>Concluidos (Anexado/Recebido)</t>
        </is>
      </c>
      <c r="H27" s="44" t="n"/>
      <c r="I27" s="64">
        <f>COUNTIF(DOCUMENTOS!E7:E31,"Anexado")+COUNTIF(DOCUMENTOS!E7:E31,"Recebido")</f>
        <v/>
      </c>
    </row>
    <row r="28">
      <c r="G28" s="59" t="inlineStr">
        <is>
          <t>Pendentes/Solicitados</t>
        </is>
      </c>
      <c r="H28" s="44" t="n"/>
      <c r="I28" s="64">
        <f>COUNTIF(DOCUMENTOS!E7:E31,"Pendente")+COUNTIF(DOCUMENTOS!E7:E31,"Solicitado")</f>
        <v/>
      </c>
    </row>
    <row r="29">
      <c r="G29" s="59" t="inlineStr">
        <is>
          <t>% de conclusao</t>
        </is>
      </c>
      <c r="H29" s="44" t="n"/>
      <c r="I29" s="65">
        <f>IFERROR((COUNTIF(DOCUMENTOS!E7:E31,"Anexado")+COUNTIF(DOCUMENTOS!E7:E31,"Recebido"))/COUNTA(DOCUMENTOS!B7:B31),0)</f>
        <v/>
      </c>
    </row>
  </sheetData>
  <mergeCells count="46">
    <mergeCell ref="G21:H21"/>
    <mergeCell ref="D10:E10"/>
    <mergeCell ref="D7:E8"/>
    <mergeCell ref="F10:G10"/>
    <mergeCell ref="H10:I10"/>
    <mergeCell ref="B23:D23"/>
    <mergeCell ref="H7:I8"/>
    <mergeCell ref="G27:H27"/>
    <mergeCell ref="B17:D17"/>
    <mergeCell ref="B15:E15"/>
    <mergeCell ref="F6:G6"/>
    <mergeCell ref="G23:H23"/>
    <mergeCell ref="B2:H3"/>
    <mergeCell ref="I1:I3"/>
    <mergeCell ref="G17:H17"/>
    <mergeCell ref="G15:I15"/>
    <mergeCell ref="D6:E6"/>
    <mergeCell ref="B19:D19"/>
    <mergeCell ref="H6:I6"/>
    <mergeCell ref="G19:H19"/>
    <mergeCell ref="F11:G12"/>
    <mergeCell ref="G28:H28"/>
    <mergeCell ref="G18:H18"/>
    <mergeCell ref="B24:D24"/>
    <mergeCell ref="B20:D20"/>
    <mergeCell ref="G25:I25"/>
    <mergeCell ref="B7:C8"/>
    <mergeCell ref="B10:C10"/>
    <mergeCell ref="F7:G8"/>
    <mergeCell ref="B26:D26"/>
    <mergeCell ref="B25:D25"/>
    <mergeCell ref="G26:H26"/>
    <mergeCell ref="B16:D16"/>
    <mergeCell ref="G29:H29"/>
    <mergeCell ref="B6:C6"/>
    <mergeCell ref="G20:H20"/>
    <mergeCell ref="B1:H1"/>
    <mergeCell ref="G16:H16"/>
    <mergeCell ref="B11:C12"/>
    <mergeCell ref="B22:D22"/>
    <mergeCell ref="D11:E12"/>
    <mergeCell ref="B18:D18"/>
    <mergeCell ref="H11:I12"/>
    <mergeCell ref="B21:D21"/>
    <mergeCell ref="G22:H22"/>
    <mergeCell ref="B4:I4"/>
  </mergeCells>
  <conditionalFormatting sqref="I29">
    <cfRule type="dataBar" priority="1">
      <dataBar>
        <cfvo type="num" val="0"/>
        <cfvo type="num" val="1"/>
        <color rgb="002E7D46"/>
      </dataBar>
    </cfRule>
  </conditionalFormatting>
  <hyperlinks>
    <hyperlink ref="I1" location="'INICIO'!A1" display="Inicio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B7A8D"/>
    <outlinePr summaryBelow="1" summaryRight="1"/>
    <pageSetUpPr/>
  </sheetPr>
  <dimension ref="A1:L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66" t="inlineStr">
        <is>
          <t>TABELAS DE APOIO / LISTAS DE VALIDACAO</t>
        </is>
      </c>
    </row>
    <row r="2">
      <c r="A2" s="26" t="inlineStr">
        <is>
          <t>Esta aba alimenta os menus suspensos (validacao de dados) das demais abas. Nao renomeie os cabecalhos. Voce pode acrescentar itens ao final de cada lista.</t>
        </is>
      </c>
    </row>
    <row r="4">
      <c r="A4" s="67" t="inlineStr">
        <is>
          <t>SIM_NAO</t>
        </is>
      </c>
      <c r="B4" s="67" t="inlineStr">
        <is>
          <t>UF</t>
        </is>
      </c>
      <c r="C4" s="67" t="inlineStr">
        <is>
          <t>TITDEP</t>
        </is>
      </c>
      <c r="D4" s="67" t="inlineStr">
        <is>
          <t>CAT_REND</t>
        </is>
      </c>
      <c r="E4" s="67" t="inlineStr">
        <is>
          <t>GRUPO_BENS</t>
        </is>
      </c>
      <c r="F4" s="67" t="inlineStr">
        <is>
          <t>TIPO_DIVIDA</t>
        </is>
      </c>
      <c r="G4" s="67" t="inlineStr">
        <is>
          <t>CAT_PAG</t>
        </is>
      </c>
      <c r="H4" s="67" t="inlineStr">
        <is>
          <t>PARENTESCO</t>
        </is>
      </c>
      <c r="I4" s="67" t="inlineStr">
        <is>
          <t>STATUS_DOC</t>
        </is>
      </c>
      <c r="J4" s="67" t="inlineStr">
        <is>
          <t>CAT_DOC</t>
        </is>
      </c>
      <c r="K4" s="67" t="inlineStr">
        <is>
          <t>OCUPACAO</t>
        </is>
      </c>
      <c r="L4" s="67" t="inlineStr">
        <is>
          <t>BANCOS</t>
        </is>
      </c>
    </row>
    <row r="5">
      <c r="A5" s="68" t="inlineStr">
        <is>
          <t>Sim</t>
        </is>
      </c>
      <c r="B5" s="68" t="inlineStr">
        <is>
          <t>AC</t>
        </is>
      </c>
      <c r="C5" s="68" t="inlineStr">
        <is>
          <t>Titular</t>
        </is>
      </c>
      <c r="D5" s="68" t="inlineStr">
        <is>
          <t>Salario / CLT</t>
        </is>
      </c>
      <c r="E5" s="68" t="inlineStr">
        <is>
          <t>Imovel</t>
        </is>
      </c>
      <c r="F5" s="68" t="inlineStr">
        <is>
          <t>Financiamento imobiliario</t>
        </is>
      </c>
      <c r="G5" s="68" t="inlineStr">
        <is>
          <t>Despesas medicas</t>
        </is>
      </c>
      <c r="H5" s="68" t="inlineStr">
        <is>
          <t>Conjuge / Companheiro(a)</t>
        </is>
      </c>
      <c r="I5" s="68" t="inlineStr">
        <is>
          <t>Pendente</t>
        </is>
      </c>
      <c r="J5" s="68" t="inlineStr">
        <is>
          <t>Dados Pessoais</t>
        </is>
      </c>
      <c r="K5" s="68" t="inlineStr">
        <is>
          <t>Empregado(a) CLT</t>
        </is>
      </c>
      <c r="L5" s="68" t="inlineStr">
        <is>
          <t>1 - Banco do Brasil</t>
        </is>
      </c>
    </row>
    <row r="6">
      <c r="A6" s="68" t="inlineStr">
        <is>
          <t>Nao</t>
        </is>
      </c>
      <c r="B6" s="68" t="inlineStr">
        <is>
          <t>AL</t>
        </is>
      </c>
      <c r="C6" s="68" t="inlineStr">
        <is>
          <t>Dependente</t>
        </is>
      </c>
      <c r="D6" s="68" t="inlineStr">
        <is>
          <t>13o salario</t>
        </is>
      </c>
      <c r="E6" s="68" t="inlineStr">
        <is>
          <t>Veiculo</t>
        </is>
      </c>
      <c r="F6" s="68" t="inlineStr">
        <is>
          <t>Financiamento de veiculo</t>
        </is>
      </c>
      <c r="G6" s="68" t="inlineStr">
        <is>
          <t>Plano de saude</t>
        </is>
      </c>
      <c r="H6" s="68" t="inlineStr">
        <is>
          <t>Filho(a)</t>
        </is>
      </c>
      <c r="I6" s="68" t="inlineStr">
        <is>
          <t>Solicitado</t>
        </is>
      </c>
      <c r="J6" s="68" t="inlineStr">
        <is>
          <t>Rendimentos</t>
        </is>
      </c>
      <c r="K6" s="68" t="inlineStr">
        <is>
          <t>Servidor(a) publico(a)</t>
        </is>
      </c>
      <c r="L6" s="68" t="inlineStr">
        <is>
          <t>33 - Banco Santander</t>
        </is>
      </c>
    </row>
    <row r="7">
      <c r="B7" s="68" t="inlineStr">
        <is>
          <t>AP</t>
        </is>
      </c>
      <c r="D7" s="68" t="inlineStr">
        <is>
          <t>Aposentadoria / Pensao (INSS)</t>
        </is>
      </c>
      <c r="E7" s="68" t="inlineStr">
        <is>
          <t>Conta corrente / poupanca</t>
        </is>
      </c>
      <c r="F7" s="68" t="inlineStr">
        <is>
          <t>Emprestimo pessoal</t>
        </is>
      </c>
      <c r="G7" s="68" t="inlineStr">
        <is>
          <t>Educacao</t>
        </is>
      </c>
      <c r="H7" s="68" t="inlineStr">
        <is>
          <t>Enteado(a)</t>
        </is>
      </c>
      <c r="I7" s="68" t="inlineStr">
        <is>
          <t>Recebido</t>
        </is>
      </c>
      <c r="J7" s="68" t="inlineStr">
        <is>
          <t>Bens e Direitos</t>
        </is>
      </c>
      <c r="K7" s="68" t="inlineStr">
        <is>
          <t>Autonomo(a) / MEI</t>
        </is>
      </c>
      <c r="L7" s="68" t="inlineStr">
        <is>
          <t>77 - Banco Inter</t>
        </is>
      </c>
    </row>
    <row r="8">
      <c r="B8" s="68" t="inlineStr">
        <is>
          <t>AM</t>
        </is>
      </c>
      <c r="D8" s="68" t="inlineStr">
        <is>
          <t>Pensao alimenticia recebida</t>
        </is>
      </c>
      <c r="E8" s="68" t="inlineStr">
        <is>
          <t>Aplicacao financeira</t>
        </is>
      </c>
      <c r="F8" s="68" t="inlineStr">
        <is>
          <t>Cartao de credito</t>
        </is>
      </c>
      <c r="G8" s="68" t="inlineStr">
        <is>
          <t>Previdencia privada (PGBL)</t>
        </is>
      </c>
      <c r="H8" s="68" t="inlineStr">
        <is>
          <t>Pais / Avos / Bisavos</t>
        </is>
      </c>
      <c r="I8" s="68" t="inlineStr">
        <is>
          <t>Anexado</t>
        </is>
      </c>
      <c r="J8" s="68" t="inlineStr">
        <is>
          <t>Dividas</t>
        </is>
      </c>
      <c r="K8" s="68" t="inlineStr">
        <is>
          <t>Empresario(a)</t>
        </is>
      </c>
      <c r="L8" s="68" t="inlineStr">
        <is>
          <t>104 - Caixa Economica Federal</t>
        </is>
      </c>
    </row>
    <row r="9">
      <c r="B9" s="68" t="inlineStr">
        <is>
          <t>BA</t>
        </is>
      </c>
      <c r="D9" s="68" t="inlineStr">
        <is>
          <t>Trabalho autonomo / PJ</t>
        </is>
      </c>
      <c r="E9" s="68" t="inlineStr">
        <is>
          <t>Participacao societaria</t>
        </is>
      </c>
      <c r="F9" s="68" t="inlineStr">
        <is>
          <t>Consorcio</t>
        </is>
      </c>
      <c r="G9" s="68" t="inlineStr">
        <is>
          <t>Pensao alimenticia judicial</t>
        </is>
      </c>
      <c r="H9" s="68" t="inlineStr">
        <is>
          <t>Neto(a) / Bisneto(a)</t>
        </is>
      </c>
      <c r="I9" s="68" t="inlineStr">
        <is>
          <t>Nao se aplica</t>
        </is>
      </c>
      <c r="J9" s="68" t="inlineStr">
        <is>
          <t>Pagamentos / Despesas</t>
        </is>
      </c>
      <c r="K9" s="68" t="inlineStr">
        <is>
          <t>Aposentado(a) / Pensionista</t>
        </is>
      </c>
      <c r="L9" s="68" t="inlineStr">
        <is>
          <t>208 - Banco BTG Pactual</t>
        </is>
      </c>
    </row>
    <row r="10">
      <c r="B10" s="68" t="inlineStr">
        <is>
          <t>CE</t>
        </is>
      </c>
      <c r="D10" s="68" t="inlineStr">
        <is>
          <t>Alugueis</t>
        </is>
      </c>
      <c r="E10" s="68" t="inlineStr">
        <is>
          <t>Criptoativo</t>
        </is>
      </c>
      <c r="F10" s="68" t="inlineStr">
        <is>
          <t>Outras dividas</t>
        </is>
      </c>
      <c r="G10" s="68" t="inlineStr">
        <is>
          <t>Contribuicao INSS</t>
        </is>
      </c>
      <c r="H10" s="68" t="inlineStr">
        <is>
          <t>Irmao(a)</t>
        </is>
      </c>
      <c r="J10" s="68" t="inlineStr">
        <is>
          <t>Dependentes</t>
        </is>
      </c>
      <c r="K10" s="68" t="inlineStr">
        <is>
          <t>Estudante</t>
        </is>
      </c>
      <c r="L10" s="68" t="inlineStr">
        <is>
          <t>212 - Banco Original</t>
        </is>
      </c>
    </row>
    <row r="11">
      <c r="B11" s="68" t="inlineStr">
        <is>
          <t>DF</t>
        </is>
      </c>
      <c r="D11" s="68" t="inlineStr">
        <is>
          <t>Rendimentos de aplicacoes financeiras</t>
        </is>
      </c>
      <c r="E11" s="68" t="inlineStr">
        <is>
          <t>Bens moveis / Outros</t>
        </is>
      </c>
      <c r="G11" s="68" t="inlineStr">
        <is>
          <t>Doacoes incentivadas</t>
        </is>
      </c>
      <c r="H11" s="68" t="inlineStr">
        <is>
          <t>Menor sob guarda judicial</t>
        </is>
      </c>
      <c r="J11" s="68" t="inlineStr">
        <is>
          <t>Outros</t>
        </is>
      </c>
      <c r="K11" s="68" t="inlineStr">
        <is>
          <t>Outros</t>
        </is>
      </c>
      <c r="L11" s="68" t="inlineStr">
        <is>
          <t>237 - Banco Bradesco</t>
        </is>
      </c>
    </row>
    <row r="12">
      <c r="B12" s="68" t="inlineStr">
        <is>
          <t>ES</t>
        </is>
      </c>
      <c r="D12" s="68" t="inlineStr">
        <is>
          <t>Dividendos / Lucros</t>
        </is>
      </c>
      <c r="G12" s="68" t="inlineStr">
        <is>
          <t>Outras despesas</t>
        </is>
      </c>
      <c r="H12" s="68" t="inlineStr">
        <is>
          <t>Outros</t>
        </is>
      </c>
      <c r="L12" s="68" t="inlineStr">
        <is>
          <t>260 - Nubank</t>
        </is>
      </c>
    </row>
    <row r="13">
      <c r="B13" s="68" t="inlineStr">
        <is>
          <t>GO</t>
        </is>
      </c>
      <c r="D13" s="68" t="inlineStr">
        <is>
          <t>Rendimentos recebidos do exterior</t>
        </is>
      </c>
      <c r="L13" s="68" t="inlineStr">
        <is>
          <t>290 - PagBank</t>
        </is>
      </c>
    </row>
    <row r="14">
      <c r="B14" s="68" t="inlineStr">
        <is>
          <t>MA</t>
        </is>
      </c>
      <c r="D14" s="68" t="inlineStr">
        <is>
          <t>Outros rendimentos</t>
        </is>
      </c>
      <c r="L14" s="68" t="inlineStr">
        <is>
          <t>336 - C6 Bank</t>
        </is>
      </c>
    </row>
    <row r="15">
      <c r="B15" s="68" t="inlineStr">
        <is>
          <t>MT</t>
        </is>
      </c>
      <c r="L15" s="68" t="inlineStr">
        <is>
          <t>341 - Itau Unibanco</t>
        </is>
      </c>
    </row>
    <row r="16">
      <c r="B16" s="68" t="inlineStr">
        <is>
          <t>MS</t>
        </is>
      </c>
      <c r="L16" s="68" t="inlineStr">
        <is>
          <t>380 - PicPay</t>
        </is>
      </c>
    </row>
    <row r="17">
      <c r="B17" s="68" t="inlineStr">
        <is>
          <t>MG</t>
        </is>
      </c>
      <c r="L17" s="68" t="inlineStr">
        <is>
          <t>422 - Banco Safra</t>
        </is>
      </c>
    </row>
    <row r="18">
      <c r="B18" s="68" t="inlineStr">
        <is>
          <t>PA</t>
        </is>
      </c>
      <c r="L18" s="68" t="inlineStr">
        <is>
          <t>748 - Sicredi</t>
        </is>
      </c>
    </row>
    <row r="19">
      <c r="B19" s="68" t="inlineStr">
        <is>
          <t>PB</t>
        </is>
      </c>
      <c r="L19" s="68" t="inlineStr">
        <is>
          <t>102 - XP Investimentos</t>
        </is>
      </c>
    </row>
    <row r="20">
      <c r="B20" s="68" t="inlineStr">
        <is>
          <t>PR</t>
        </is>
      </c>
      <c r="L20" s="68" t="inlineStr">
        <is>
          <t>Outros</t>
        </is>
      </c>
    </row>
    <row r="21">
      <c r="B21" s="68" t="inlineStr">
        <is>
          <t>PE</t>
        </is>
      </c>
    </row>
    <row r="22">
      <c r="B22" s="68" t="inlineStr">
        <is>
          <t>PI</t>
        </is>
      </c>
    </row>
    <row r="23">
      <c r="B23" s="68" t="inlineStr">
        <is>
          <t>RJ</t>
        </is>
      </c>
    </row>
    <row r="24">
      <c r="B24" s="68" t="inlineStr">
        <is>
          <t>RN</t>
        </is>
      </c>
    </row>
    <row r="25">
      <c r="B25" s="68" t="inlineStr">
        <is>
          <t>RS</t>
        </is>
      </c>
    </row>
    <row r="26">
      <c r="B26" s="68" t="inlineStr">
        <is>
          <t>RO</t>
        </is>
      </c>
    </row>
    <row r="27">
      <c r="B27" s="68" t="inlineStr">
        <is>
          <t>RR</t>
        </is>
      </c>
    </row>
    <row r="28">
      <c r="B28" s="68" t="inlineStr">
        <is>
          <t>SC</t>
        </is>
      </c>
    </row>
    <row r="29">
      <c r="B29" s="68" t="inlineStr">
        <is>
          <t>SP</t>
        </is>
      </c>
    </row>
    <row r="30">
      <c r="B30" s="68" t="inlineStr">
        <is>
          <t>SE</t>
        </is>
      </c>
    </row>
    <row r="31">
      <c r="B31" s="6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Bel - Desafio DIO</dc:creator>
  <dc:title xmlns:dc="http://purl.org/dc/elements/1.1/">Agregador de Imposto de Renda</dc:title>
  <dc:description xmlns:dc="http://purl.org/dc/elements/1.1/">Ferramenta Excel para organizar informacoes da declaracao de IRPF.</dc:description>
  <dcterms:created xmlns:dcterms="http://purl.org/dc/terms/" xmlns:xsi="http://www.w3.org/2001/XMLSchema-instance" xsi:type="dcterms:W3CDTF">2026-09-15T15:47:41Z</dcterms:created>
  <dcterms:modified xmlns:dcterms="http://purl.org/dc/terms/" xmlns:xsi="http://www.w3.org/2001/XMLSchema-instance" xsi:type="dcterms:W3CDTF">2026-09-15T15:47:41Z</dcterms:modified>
</cp:coreProperties>
</file>